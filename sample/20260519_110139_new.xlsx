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Summary" sheetId="1" state="visible" r:id="rId1"/>
    <sheet name="Year-wise Tax Summary" sheetId="2" state="visible" r:id="rId2"/>
    <sheet name="Vesting Schedule" sheetId="3" state="visible" r:id="rId3"/>
    <sheet name="Sales History" sheetId="4" state="visible" r:id="rId4"/>
    <sheet name="Tax Withholdings" sheetId="5" state="visible" r:id="rId5"/>
    <sheet name="Schedule FA (Table A3)" sheetId="6" state="visible" r:id="rId6"/>
    <sheet name="Sell-All 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 h:mm:ss"/>
    <numFmt numFmtId="166" formatCode="YYYY-MM-DD HH:MM:SS"/>
    <numFmt numFmtId="167" formatCode="YYYY-MM-DD"/>
    <numFmt numFmtId="168" formatCode="0.0000"/>
  </numFmts>
  <fonts count="7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F5496"/>
      <sz val="9"/>
    </font>
    <font>
      <name val="Calibri"/>
      <i val="1"/>
      <color rgb="00595959"/>
      <sz val="9"/>
    </font>
    <font>
      <name val="Calibri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2F6FA"/>
        <bgColor rgb="00F2F6FA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1" fillId="2" borderId="1" pivotButton="0" quotePrefix="0" xfId="0"/>
    <xf numFmtId="164" fontId="1" fillId="2" borderId="1" pivotButton="0" quotePrefix="0" xfId="0"/>
    <xf numFmtId="4" fontId="1" fillId="2" borderId="1" pivotButton="0" quotePrefix="0" xfId="0"/>
    <xf numFmtId="167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7" fontId="3" fillId="4" borderId="1" pivotButton="0" quotePrefix="0" xfId="0"/>
    <xf numFmtId="2" fontId="3" fillId="4" borderId="1" applyAlignment="1" pivotButton="0" quotePrefix="0" xfId="0">
      <alignment horizontal="right" vertical="center"/>
    </xf>
    <xf numFmtId="167" fontId="3" fillId="0" borderId="1" pivotButton="0" quotePrefix="0" xfId="0"/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13" customWidth="1" min="4" max="4"/>
    <col width="8" customWidth="1" min="5" max="5"/>
    <col width="17" customWidth="1" min="6" max="6"/>
    <col width="21" customWidth="1" min="7" max="7"/>
    <col width="22" customWidth="1" min="8" max="8"/>
    <col width="19" customWidth="1" min="9" max="9"/>
    <col width="8" customWidth="1" min="10" max="10"/>
    <col width="37" customWidth="1" min="11" max="11"/>
    <col width="11" customWidth="1" min="12" max="12"/>
    <col width="11" customWidth="1" min="13" max="13"/>
    <col width="34" customWidth="1" min="14" max="14"/>
    <col width="17" customWidth="1" min="15" max="15"/>
    <col width="29" customWidth="1" min="16" max="16"/>
    <col width="20" customWidth="1" min="17" max="17"/>
    <col width="13" customWidth="1" min="18" max="18"/>
    <col width="22" customWidth="1" min="19" max="19"/>
    <col width="24" customWidth="1" min="20" max="20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Units</t>
        </is>
      </c>
      <c r="F1" s="1" t="inlineStr">
        <is>
          <t>Vested to Date</t>
        </is>
      </c>
      <c r="G1" s="1" t="inlineStr">
        <is>
          <t>Withheld for Taxes</t>
        </is>
      </c>
      <c r="H1" s="1" t="inlineStr">
        <is>
          <t>Released to Account</t>
        </is>
      </c>
      <c r="I1" s="1" t="inlineStr">
        <is>
          <t>Tax Withheld ($)</t>
        </is>
      </c>
      <c r="J1" s="1" t="inlineStr">
        <is>
          <t>Sold</t>
        </is>
      </c>
      <c r="K1" s="1" t="inlineStr">
        <is>
          <t>Sale Dates</t>
        </is>
      </c>
      <c r="L1" s="1" t="inlineStr">
        <is>
          <t>Sellable</t>
        </is>
      </c>
      <c r="M1" s="1" t="inlineStr">
        <is>
          <t>Unvested</t>
        </is>
      </c>
      <c r="N1" s="1" t="inlineStr">
        <is>
          <t>Future Vesting (from schedules)</t>
        </is>
      </c>
      <c r="O1" s="1" t="inlineStr">
        <is>
          <t>Next Vest Date</t>
        </is>
      </c>
      <c r="P1" s="1" t="inlineStr">
        <is>
          <t>Estimated Market Value ($)</t>
        </is>
      </c>
      <c r="Q1" s="1" t="inlineStr">
        <is>
          <t>Validation Status</t>
        </is>
      </c>
      <c r="R1" s="1" t="inlineStr">
        <is>
          <t># of Sales</t>
        </is>
      </c>
      <c r="S1" s="1" t="inlineStr">
        <is>
          <t># of Vest Schedules</t>
        </is>
      </c>
      <c r="T1" s="1" t="inlineStr">
        <is>
          <t># of Tax Withholdings</t>
        </is>
      </c>
    </row>
    <row r="2">
      <c r="A2" s="2" t="inlineStr">
        <is>
          <t>RSU</t>
        </is>
      </c>
      <c r="B2" s="2" t="inlineStr">
        <is>
          <t>A241115</t>
        </is>
      </c>
      <c r="C2" s="2" t="inlineStr">
        <is>
          <t>AAPL</t>
        </is>
      </c>
      <c r="D2" s="3" t="inlineStr">
        <is>
          <t>2024-11-15</t>
        </is>
      </c>
      <c r="E2" s="2" t="n">
        <v>60</v>
      </c>
      <c r="F2" s="2" t="n">
        <v>0</v>
      </c>
      <c r="G2" s="2" t="n">
        <v>0</v>
      </c>
      <c r="H2" s="2" t="n">
        <v>0</v>
      </c>
      <c r="I2" s="4" t="n">
        <v>0</v>
      </c>
      <c r="J2" s="2" t="n">
        <v>0</v>
      </c>
      <c r="K2" s="3" t="inlineStr">
        <is>
          <t>None</t>
        </is>
      </c>
      <c r="L2" s="2" t="n">
        <v>0</v>
      </c>
      <c r="M2" s="2" t="n">
        <v>60</v>
      </c>
      <c r="N2" s="2" t="n">
        <v>0</v>
      </c>
      <c r="O2" s="3" t="inlineStr">
        <is>
          <t>2026-11-15</t>
        </is>
      </c>
      <c r="P2" s="4" t="n">
        <v>14400</v>
      </c>
      <c r="Q2" s="5" t="inlineStr">
        <is>
          <t>OK</t>
        </is>
      </c>
      <c r="R2" s="2" t="n">
        <v>0</v>
      </c>
      <c r="S2" s="2" t="n">
        <v>3</v>
      </c>
      <c r="T2" s="2" t="n">
        <v>0</v>
      </c>
    </row>
    <row r="3">
      <c r="A3" s="6" t="inlineStr">
        <is>
          <t>ESPP</t>
        </is>
      </c>
      <c r="B3" s="6" t="inlineStr">
        <is>
          <t>ESPP_2025-01-31_1</t>
        </is>
      </c>
      <c r="C3" s="6" t="inlineStr">
        <is>
          <t>AAPL</t>
        </is>
      </c>
      <c r="D3" s="7" t="inlineStr">
        <is>
          <t>2024-08-01</t>
        </is>
      </c>
      <c r="E3" s="6" t="n">
        <v>12</v>
      </c>
      <c r="F3" s="6" t="n">
        <v>12</v>
      </c>
      <c r="G3" s="6" t="n">
        <v>0</v>
      </c>
      <c r="H3" s="6" t="n">
        <v>0</v>
      </c>
      <c r="I3" s="8" t="n">
        <v>0</v>
      </c>
      <c r="J3" s="6" t="n">
        <v>0</v>
      </c>
      <c r="K3" s="7" t="inlineStr">
        <is>
          <t>None</t>
        </is>
      </c>
      <c r="L3" s="6" t="n">
        <v>12</v>
      </c>
      <c r="M3" s="6" t="n">
        <v>0</v>
      </c>
      <c r="N3" s="6" t="n">
        <v>0</v>
      </c>
      <c r="O3" s="7" t="inlineStr">
        <is>
          <t>N/A</t>
        </is>
      </c>
      <c r="P3" s="8" t="n">
        <v>2976.6</v>
      </c>
      <c r="Q3" s="5" t="inlineStr">
        <is>
          <t>OK</t>
        </is>
      </c>
      <c r="R3" s="6" t="n">
        <v>0</v>
      </c>
      <c r="S3" s="6" t="n">
        <v>0</v>
      </c>
      <c r="T3" s="6" t="n">
        <v>0</v>
      </c>
    </row>
    <row r="4">
      <c r="A4" s="2" t="inlineStr">
        <is>
          <t>ESPP</t>
        </is>
      </c>
      <c r="B4" s="2" t="inlineStr">
        <is>
          <t>ESPP_2024-07-31_2</t>
        </is>
      </c>
      <c r="C4" s="2" t="inlineStr">
        <is>
          <t>AAPL</t>
        </is>
      </c>
      <c r="D4" s="3" t="inlineStr">
        <is>
          <t>2024-02-01</t>
        </is>
      </c>
      <c r="E4" s="2" t="n">
        <v>10</v>
      </c>
      <c r="F4" s="2" t="n">
        <v>10</v>
      </c>
      <c r="G4" s="2" t="n">
        <v>0</v>
      </c>
      <c r="H4" s="2" t="n">
        <v>0</v>
      </c>
      <c r="I4" s="4" t="n">
        <v>0</v>
      </c>
      <c r="J4" s="2" t="n">
        <v>0</v>
      </c>
      <c r="K4" s="3" t="inlineStr">
        <is>
          <t>None</t>
        </is>
      </c>
      <c r="L4" s="2" t="n">
        <v>10</v>
      </c>
      <c r="M4" s="2" t="n">
        <v>0</v>
      </c>
      <c r="N4" s="2" t="n">
        <v>0</v>
      </c>
      <c r="O4" s="3" t="inlineStr">
        <is>
          <t>N/A</t>
        </is>
      </c>
      <c r="P4" s="4" t="n">
        <v>2182.4</v>
      </c>
      <c r="Q4" s="5" t="inlineStr">
        <is>
          <t>OK</t>
        </is>
      </c>
      <c r="R4" s="2" t="n">
        <v>0</v>
      </c>
      <c r="S4" s="2" t="n">
        <v>0</v>
      </c>
      <c r="T4" s="2" t="n">
        <v>0</v>
      </c>
    </row>
    <row r="5">
      <c r="A5" s="6" t="inlineStr">
        <is>
          <t>RSU</t>
        </is>
      </c>
      <c r="B5" s="6" t="inlineStr">
        <is>
          <t>A220515</t>
        </is>
      </c>
      <c r="C5" s="6" t="inlineStr">
        <is>
          <t>AAPL</t>
        </is>
      </c>
      <c r="D5" s="7" t="inlineStr">
        <is>
          <t>2022-05-15</t>
        </is>
      </c>
      <c r="E5" s="6" t="n">
        <v>100</v>
      </c>
      <c r="F5" s="6" t="n">
        <v>100</v>
      </c>
      <c r="G5" s="6" t="n">
        <v>0</v>
      </c>
      <c r="H5" s="6" t="n">
        <v>100</v>
      </c>
      <c r="I5" s="8" t="n">
        <v>5180.01</v>
      </c>
      <c r="J5" s="6" t="n">
        <v>100</v>
      </c>
      <c r="K5" s="7" t="inlineStr">
        <is>
          <t>2023-05-20; 2024-05-20; 2025-05-20</t>
        </is>
      </c>
      <c r="L5" s="6" t="n">
        <v>0</v>
      </c>
      <c r="M5" s="6" t="n">
        <v>0</v>
      </c>
      <c r="N5" s="6" t="n">
        <v>0</v>
      </c>
      <c r="O5" s="7" t="inlineStr">
        <is>
          <t>N/A</t>
        </is>
      </c>
      <c r="P5" s="8" t="n">
        <v>0</v>
      </c>
      <c r="Q5" s="5" t="inlineStr">
        <is>
          <t>OK</t>
        </is>
      </c>
      <c r="R5" s="6" t="n">
        <v>3</v>
      </c>
      <c r="S5" s="6" t="n">
        <v>3</v>
      </c>
      <c r="T5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9" customWidth="1" min="4" max="4"/>
    <col width="13" customWidth="1" min="5" max="5"/>
    <col width="23" customWidth="1" min="6" max="6"/>
    <col width="50" customWidth="1" min="7" max="7"/>
    <col width="26" customWidth="1" min="8" max="8"/>
    <col width="50" customWidth="1" min="9" max="9"/>
  </cols>
  <sheetData>
    <row r="1">
      <c r="A1" s="1" t="inlineStr">
        <is>
          <t>FY</t>
        </is>
      </c>
      <c r="B1" s="1" t="inlineStr">
        <is>
          <t>Grant Type</t>
        </is>
      </c>
      <c r="C1" s="1" t="inlineStr">
        <is>
          <t>Grant ID</t>
        </is>
      </c>
      <c r="D1" s="1" t="inlineStr">
        <is>
          <t>Symbol</t>
        </is>
      </c>
      <c r="E1" s="1" t="inlineStr">
        <is>
          <t>Sale Date</t>
        </is>
      </c>
      <c r="F1" s="1" t="inlineStr">
        <is>
          <t>Tax Type</t>
        </is>
      </c>
      <c r="G1" s="1" t="inlineStr">
        <is>
          <t>Amount ($)</t>
        </is>
      </c>
      <c r="H1" s="1" t="inlineStr">
        <is>
          <t>Exchange Rate (USD-INR)</t>
        </is>
      </c>
      <c r="I1" s="1" t="inlineStr">
        <is>
          <t>Amount (INR)</t>
        </is>
      </c>
    </row>
    <row r="2">
      <c r="A2" s="2" t="inlineStr">
        <is>
          <t>FY2025-2026</t>
        </is>
      </c>
      <c r="B2" s="2" t="inlineStr">
        <is>
          <t>RSU</t>
        </is>
      </c>
      <c r="C2" s="2" t="inlineStr">
        <is>
          <t>A220515</t>
        </is>
      </c>
      <c r="D2" s="2" t="inlineStr">
        <is>
          <t>AAPL</t>
        </is>
      </c>
      <c r="E2" s="3" t="inlineStr">
        <is>
          <t>2025-05-20</t>
        </is>
      </c>
      <c r="F2" s="2" t="inlineStr">
        <is>
          <t>Capital Gains (LTCG)</t>
        </is>
      </c>
      <c r="G2" s="4">
        <f>SUMIFS('Sales History'!$O:$O,'Sales History'!$B:$B,"A220515",'Sales History'!$C:$C,"AAPL",'Sales History'!$M:$M,"LTCG",'Sales History'!$E:$E,DATE(2025,5,20))</f>
        <v/>
      </c>
      <c r="H2" s="9" t="n">
        <v>84.25</v>
      </c>
      <c r="I2" s="10">
        <f>IF(AND(ISNUMBER(G2), ISNUMBER(H2), H2&lt;&gt;0), G2 * H2, "")</f>
        <v/>
      </c>
    </row>
    <row r="3">
      <c r="A3" s="11" t="inlineStr">
        <is>
          <t>FY2025-2026 Total</t>
        </is>
      </c>
      <c r="B3" s="11" t="n"/>
      <c r="C3" s="11" t="n"/>
      <c r="D3" s="11" t="n"/>
      <c r="E3" s="11" t="n"/>
      <c r="F3" s="11" t="n"/>
      <c r="G3" s="12">
        <f>SUM(G2:G2)</f>
        <v/>
      </c>
      <c r="H3" s="11" t="n"/>
      <c r="I3" s="13">
        <f>SUM(I2:I2)</f>
        <v/>
      </c>
    </row>
    <row r="4">
      <c r="A4" s="2" t="inlineStr">
        <is>
          <t>FY2024-2025</t>
        </is>
      </c>
      <c r="B4" s="2" t="inlineStr">
        <is>
          <t>RSU</t>
        </is>
      </c>
      <c r="C4" s="2" t="inlineStr">
        <is>
          <t>A220515</t>
        </is>
      </c>
      <c r="D4" s="2" t="inlineStr">
        <is>
          <t>AAPL</t>
        </is>
      </c>
      <c r="E4" s="3" t="inlineStr">
        <is>
          <t>2024-05-20</t>
        </is>
      </c>
      <c r="F4" s="2" t="inlineStr">
        <is>
          <t>Capital Gains (LTCG)</t>
        </is>
      </c>
      <c r="G4" s="4">
        <f>SUMIFS('Sales History'!$O:$O,'Sales History'!$B:$B,"A220515",'Sales History'!$C:$C,"AAPL",'Sales History'!$M:$M,"LTCG",'Sales History'!$E:$E,DATE(2024,5,20))</f>
        <v/>
      </c>
      <c r="H4" s="9" t="n">
        <v>82.90000000000001</v>
      </c>
      <c r="I4" s="10">
        <f>IF(AND(ISNUMBER(G4), ISNUMBER(H4), H4&lt;&gt;0), G4 * H4, "")</f>
        <v/>
      </c>
    </row>
    <row r="5">
      <c r="A5" s="11" t="inlineStr">
        <is>
          <t>FY2024-2025 Total</t>
        </is>
      </c>
      <c r="B5" s="11" t="n"/>
      <c r="C5" s="11" t="n"/>
      <c r="D5" s="11" t="n"/>
      <c r="E5" s="11" t="n"/>
      <c r="F5" s="11" t="n"/>
      <c r="G5" s="12">
        <f>SUM(G4:G4)</f>
        <v/>
      </c>
      <c r="H5" s="11" t="n"/>
      <c r="I5" s="13">
        <f>SUM(I4:I4)</f>
        <v/>
      </c>
    </row>
    <row r="6">
      <c r="A6" s="2" t="inlineStr">
        <is>
          <t>FY2023-2024</t>
        </is>
      </c>
      <c r="B6" s="2" t="inlineStr">
        <is>
          <t>RSU</t>
        </is>
      </c>
      <c r="C6" s="2" t="inlineStr">
        <is>
          <t>A220515</t>
        </is>
      </c>
      <c r="D6" s="2" t="inlineStr">
        <is>
          <t>AAPL</t>
        </is>
      </c>
      <c r="E6" s="3" t="inlineStr">
        <is>
          <t>2023-05-20</t>
        </is>
      </c>
      <c r="F6" s="2" t="inlineStr">
        <is>
          <t>Capital Gains (STCG)</t>
        </is>
      </c>
      <c r="G6" s="4">
        <f>SUMIFS('Sales History'!$O:$O,'Sales History'!$B:$B,"A220515",'Sales History'!$C:$C,"AAPL",'Sales History'!$M:$M,"STCG",'Sales History'!$E:$E,DATE(2023,5,20))</f>
        <v/>
      </c>
      <c r="H6" s="9" t="n">
        <v>81.34999999999999</v>
      </c>
      <c r="I6" s="10">
        <f>IF(AND(ISNUMBER(G6), ISNUMBER(H6), H6&lt;&gt;0), G6 * H6, "")</f>
        <v/>
      </c>
    </row>
    <row r="7">
      <c r="A7" s="11" t="inlineStr">
        <is>
          <t>FY2023-2024 Total</t>
        </is>
      </c>
      <c r="B7" s="11" t="n"/>
      <c r="C7" s="11" t="n"/>
      <c r="D7" s="11" t="n"/>
      <c r="E7" s="11" t="n"/>
      <c r="F7" s="11" t="n"/>
      <c r="G7" s="12">
        <f>SUM(G6:G6)</f>
        <v/>
      </c>
      <c r="H7" s="11" t="n"/>
      <c r="I7" s="13">
        <f>SUM(I6:I6)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3" customWidth="1" min="4" max="4"/>
    <col width="22" customWidth="1" min="5" max="5"/>
    <col width="14" customWidth="1" min="6" max="6"/>
    <col width="14" customWidth="1" min="7" max="7"/>
    <col width="15" customWidth="1" min="8" max="8"/>
    <col width="12" customWidth="1" min="9" max="9"/>
    <col width="34" customWidth="1" min="10" max="10"/>
    <col width="21" customWidth="1" min="11" max="11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Vest Date</t>
        </is>
      </c>
      <c r="F1" s="1" t="inlineStr">
        <is>
          <t>Vest Period</t>
        </is>
      </c>
      <c r="G1" s="1" t="inlineStr">
        <is>
          <t>Vested Qty.</t>
        </is>
      </c>
      <c r="H1" s="1" t="inlineStr">
        <is>
          <t>Released Qty</t>
        </is>
      </c>
      <c r="I1" s="1" t="inlineStr">
        <is>
          <t>Is Future</t>
        </is>
      </c>
      <c r="J1" s="1" t="inlineStr">
        <is>
          <t>Days to Vesting</t>
        </is>
      </c>
      <c r="K1" s="1" t="inlineStr">
        <is>
          <t>Future Vesting Qty</t>
        </is>
      </c>
    </row>
    <row r="2">
      <c r="A2" s="2" t="inlineStr">
        <is>
          <t>RSU</t>
        </is>
      </c>
      <c r="B2" s="2" t="inlineStr">
        <is>
          <t>A241115</t>
        </is>
      </c>
      <c r="C2" s="2" t="inlineStr">
        <is>
          <t>AAPL</t>
        </is>
      </c>
      <c r="D2" s="3" t="inlineStr">
        <is>
          <t>2024-11-15</t>
        </is>
      </c>
      <c r="E2" s="14" t="n">
        <v>46706</v>
      </c>
      <c r="F2" s="2" t="inlineStr">
        <is>
          <t>3.0</t>
        </is>
      </c>
      <c r="G2" s="2" t="n">
        <v>0</v>
      </c>
      <c r="H2" s="2" t="n">
        <v>0</v>
      </c>
      <c r="I2" s="2" t="inlineStr">
        <is>
          <t>Yes</t>
        </is>
      </c>
      <c r="J2" s="15">
        <f>IF(E2&gt;TODAY(), E2-TODAY(), "")</f>
        <v/>
      </c>
      <c r="K2" s="2" t="n">
        <v>30</v>
      </c>
    </row>
    <row r="3">
      <c r="A3" s="6" t="inlineStr">
        <is>
          <t>RSU</t>
        </is>
      </c>
      <c r="B3" s="6" t="inlineStr">
        <is>
          <t>A241115</t>
        </is>
      </c>
      <c r="C3" s="6" t="inlineStr">
        <is>
          <t>AAPL</t>
        </is>
      </c>
      <c r="D3" s="7" t="inlineStr">
        <is>
          <t>2024-11-15</t>
        </is>
      </c>
      <c r="E3" s="16" t="n">
        <v>46341</v>
      </c>
      <c r="F3" s="6" t="inlineStr">
        <is>
          <t>2.0</t>
        </is>
      </c>
      <c r="G3" s="6" t="n">
        <v>0</v>
      </c>
      <c r="H3" s="6" t="n">
        <v>0</v>
      </c>
      <c r="I3" s="6" t="inlineStr">
        <is>
          <t>Yes</t>
        </is>
      </c>
      <c r="J3" s="17">
        <f>IF(E3&gt;TODAY(), E3-TODAY(), "")</f>
        <v/>
      </c>
      <c r="K3" s="6" t="n">
        <v>30</v>
      </c>
    </row>
    <row r="4">
      <c r="A4" s="2" t="inlineStr">
        <is>
          <t>RSU</t>
        </is>
      </c>
      <c r="B4" s="2" t="inlineStr">
        <is>
          <t>A241115</t>
        </is>
      </c>
      <c r="C4" s="2" t="inlineStr">
        <is>
          <t>AAPL</t>
        </is>
      </c>
      <c r="D4" s="3" t="inlineStr">
        <is>
          <t>2024-11-15</t>
        </is>
      </c>
      <c r="E4" s="14" t="n">
        <v>45976</v>
      </c>
      <c r="F4" s="2" t="inlineStr">
        <is>
          <t>1.0</t>
        </is>
      </c>
      <c r="G4" s="2" t="n">
        <v>0</v>
      </c>
      <c r="H4" s="2" t="n">
        <v>0</v>
      </c>
      <c r="I4" s="2" t="inlineStr">
        <is>
          <t>No</t>
        </is>
      </c>
      <c r="J4" s="15">
        <f>IF(E4&gt;TODAY(), E4-TODAY(), "")</f>
        <v/>
      </c>
      <c r="K4" s="2" t="inlineStr"/>
    </row>
    <row r="5">
      <c r="A5" s="6" t="inlineStr">
        <is>
          <t>RSU</t>
        </is>
      </c>
      <c r="B5" s="6" t="inlineStr">
        <is>
          <t>A220515</t>
        </is>
      </c>
      <c r="C5" s="6" t="inlineStr">
        <is>
          <t>AAPL</t>
        </is>
      </c>
      <c r="D5" s="7" t="inlineStr">
        <is>
          <t>2022-05-15</t>
        </is>
      </c>
      <c r="E5" s="16" t="n">
        <v>45792</v>
      </c>
      <c r="F5" s="6" t="inlineStr">
        <is>
          <t>3.0</t>
        </is>
      </c>
      <c r="G5" s="6" t="n">
        <v>0</v>
      </c>
      <c r="H5" s="6" t="n">
        <v>34</v>
      </c>
      <c r="I5" s="6" t="inlineStr">
        <is>
          <t>No</t>
        </is>
      </c>
      <c r="J5" s="17">
        <f>IF(E5&gt;TODAY(), E5-TODAY(), "")</f>
        <v/>
      </c>
      <c r="K5" s="6" t="inlineStr"/>
    </row>
    <row r="6">
      <c r="A6" s="2" t="inlineStr">
        <is>
          <t>RSU</t>
        </is>
      </c>
      <c r="B6" s="2" t="inlineStr">
        <is>
          <t>A220515</t>
        </is>
      </c>
      <c r="C6" s="2" t="inlineStr">
        <is>
          <t>AAPL</t>
        </is>
      </c>
      <c r="D6" s="3" t="inlineStr">
        <is>
          <t>2022-05-15</t>
        </is>
      </c>
      <c r="E6" s="14" t="n">
        <v>45427</v>
      </c>
      <c r="F6" s="2" t="inlineStr">
        <is>
          <t>2.0</t>
        </is>
      </c>
      <c r="G6" s="2" t="n">
        <v>0</v>
      </c>
      <c r="H6" s="2" t="n">
        <v>33</v>
      </c>
      <c r="I6" s="2" t="inlineStr">
        <is>
          <t>No</t>
        </is>
      </c>
      <c r="J6" s="15">
        <f>IF(E6&gt;TODAY(), E6-TODAY(), "")</f>
        <v/>
      </c>
      <c r="K6" s="2" t="inlineStr"/>
    </row>
    <row r="7">
      <c r="A7" s="6" t="inlineStr">
        <is>
          <t>RSU</t>
        </is>
      </c>
      <c r="B7" s="6" t="inlineStr">
        <is>
          <t>A220515</t>
        </is>
      </c>
      <c r="C7" s="6" t="inlineStr">
        <is>
          <t>AAPL</t>
        </is>
      </c>
      <c r="D7" s="7" t="inlineStr">
        <is>
          <t>2022-05-15</t>
        </is>
      </c>
      <c r="E7" s="16" t="n">
        <v>45061</v>
      </c>
      <c r="F7" s="6" t="inlineStr">
        <is>
          <t>1.0</t>
        </is>
      </c>
      <c r="G7" s="6" t="n">
        <v>0</v>
      </c>
      <c r="H7" s="6" t="n">
        <v>33</v>
      </c>
      <c r="I7" s="6" t="inlineStr">
        <is>
          <t>No</t>
        </is>
      </c>
      <c r="J7" s="17">
        <f>IF(E7&gt;TODAY(), E7-TODAY(), "")</f>
        <v/>
      </c>
      <c r="K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3" customWidth="1" min="4" max="4"/>
    <col width="22" customWidth="1" min="5" max="5"/>
    <col width="12" customWidth="1" min="6" max="6"/>
    <col width="17" customWidth="1" min="7" max="7"/>
    <col width="20" customWidth="1" min="8" max="8"/>
    <col width="20" customWidth="1" min="9" max="9"/>
    <col width="50" customWidth="1" min="10" max="10"/>
    <col width="15" customWidth="1" min="11" max="11"/>
    <col width="17" customWidth="1" min="12" max="12"/>
    <col width="11" customWidth="1" min="13" max="13"/>
    <col width="15" customWidth="1" min="14" max="14"/>
    <col width="50" customWidth="1" min="15" max="15"/>
    <col width="50" customWidth="1" min="16" max="16"/>
    <col width="26" customWidth="1" min="17" max="17"/>
    <col width="50" customWidth="1" min="18" max="18"/>
    <col width="50" customWidth="1" min="19" max="19"/>
    <col width="50" customWidth="1" min="20" max="20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Sale Date</t>
        </is>
      </c>
      <c r="F1" s="1" t="inlineStr">
        <is>
          <t>Qty. Sold</t>
        </is>
      </c>
      <c r="G1" s="1" t="inlineStr">
        <is>
          <t>Sale Price ($)</t>
        </is>
      </c>
      <c r="H1" s="1" t="inlineStr">
        <is>
          <t>Sale Price Source</t>
        </is>
      </c>
      <c r="I1" s="1" t="inlineStr">
        <is>
          <t>Grant Price ($)</t>
        </is>
      </c>
      <c r="J1" s="1" t="inlineStr">
        <is>
          <t>Capital Gain ($)</t>
        </is>
      </c>
      <c r="K1" s="1" t="inlineStr">
        <is>
          <t>Holding Days</t>
        </is>
      </c>
      <c r="L1" s="1" t="inlineStr">
        <is>
          <t>Holding Period</t>
        </is>
      </c>
      <c r="M1" s="1" t="inlineStr">
        <is>
          <t>Tax Type</t>
        </is>
      </c>
      <c r="N1" s="1" t="inlineStr">
        <is>
          <t>Tax Rate (%)</t>
        </is>
      </c>
      <c r="O1" s="1" t="inlineStr">
        <is>
          <t>Capital Gains Tax ($)</t>
        </is>
      </c>
      <c r="P1" s="1" t="inlineStr">
        <is>
          <t>Estimated Proceeds ($)</t>
        </is>
      </c>
      <c r="Q1" s="1" t="inlineStr">
        <is>
          <t>Exchange Rate (USD-INR)</t>
        </is>
      </c>
      <c r="R1" s="1" t="inlineStr">
        <is>
          <t>Estimated Proceeds (INR)</t>
        </is>
      </c>
      <c r="S1" s="1" t="inlineStr">
        <is>
          <t>Capital Gain (INR)</t>
        </is>
      </c>
      <c r="T1" s="1" t="inlineStr">
        <is>
          <t>Capital Gains Tax (INR)</t>
        </is>
      </c>
    </row>
    <row r="2">
      <c r="A2" s="2" t="inlineStr">
        <is>
          <t>RSU</t>
        </is>
      </c>
      <c r="B2" s="2" t="inlineStr">
        <is>
          <t>A220515</t>
        </is>
      </c>
      <c r="C2" s="2" t="inlineStr">
        <is>
          <t>AAPL</t>
        </is>
      </c>
      <c r="D2" s="3" t="inlineStr">
        <is>
          <t>2022-05-15</t>
        </is>
      </c>
      <c r="E2" s="18" t="n">
        <v>45797</v>
      </c>
      <c r="F2" s="2" t="n">
        <v>34</v>
      </c>
      <c r="G2" s="4" t="n">
        <v>173.24</v>
      </c>
      <c r="H2" s="3" t="inlineStr">
        <is>
          <t>yfinance</t>
        </is>
      </c>
      <c r="I2" s="4" t="n">
        <v>142.6759033203125</v>
      </c>
      <c r="J2" s="4">
        <f>IF(AND(ISNUMBER(G2), ISNUMBER(I2), ISNUMBER(F2)), (G2 - I2) * F2, "")</f>
        <v/>
      </c>
      <c r="K2" s="2" t="n">
        <v>1101</v>
      </c>
      <c r="L2" s="2" t="inlineStr">
        <is>
          <t>3y 6d</t>
        </is>
      </c>
      <c r="M2" s="2" t="inlineStr">
        <is>
          <t>LTCG</t>
        </is>
      </c>
      <c r="N2" s="19" t="n">
        <v>12.5</v>
      </c>
      <c r="O2" s="4">
        <f>IF(AND(ISNUMBER(J2), ISNUMBER(N2)), J2 * N2 / 100, "")</f>
        <v/>
      </c>
      <c r="P2" s="4">
        <f>IF(AND(ISNUMBER(F2), ISNUMBER(G2)), F2 * G2, "")</f>
        <v/>
      </c>
      <c r="Q2" s="9" t="n">
        <v>84.25</v>
      </c>
      <c r="R2" s="10">
        <f>IF(AND(ISNUMBER(P2), ISNUMBER(Q2), Q2&lt;&gt;0), P2 * Q2, "")</f>
        <v/>
      </c>
      <c r="S2" s="10">
        <f>IF(AND(ISNUMBER(J2), ISNUMBER(Q2), Q2&lt;&gt;0), J2 * Q2, "")</f>
        <v/>
      </c>
      <c r="T2" s="10">
        <f>IF(AND(ISNUMBER(O2), ISNUMBER(Q2), Q2&lt;&gt;0), O2 * Q2, "")</f>
        <v/>
      </c>
    </row>
    <row r="3">
      <c r="A3" s="6" t="inlineStr">
        <is>
          <t>RSU</t>
        </is>
      </c>
      <c r="B3" s="6" t="inlineStr">
        <is>
          <t>A220515</t>
        </is>
      </c>
      <c r="C3" s="6" t="inlineStr">
        <is>
          <t>AAPL</t>
        </is>
      </c>
      <c r="D3" s="7" t="inlineStr">
        <is>
          <t>2022-05-15</t>
        </is>
      </c>
      <c r="E3" s="20" t="n">
        <v>45432</v>
      </c>
      <c r="F3" s="6" t="n">
        <v>33</v>
      </c>
      <c r="G3" s="8" t="n">
        <v>184</v>
      </c>
      <c r="H3" s="7" t="inlineStr">
        <is>
          <t>yfinance</t>
        </is>
      </c>
      <c r="I3" s="8" t="n">
        <v>142.6759033203125</v>
      </c>
      <c r="J3" s="8">
        <f>IF(AND(ISNUMBER(G3), ISNUMBER(I3), ISNUMBER(F3)), (G3 - I3) * F3, "")</f>
        <v/>
      </c>
      <c r="K3" s="6" t="n">
        <v>736</v>
      </c>
      <c r="L3" s="6" t="inlineStr">
        <is>
          <t>2y 6d</t>
        </is>
      </c>
      <c r="M3" s="6" t="inlineStr">
        <is>
          <t>LTCG</t>
        </is>
      </c>
      <c r="N3" s="21" t="n">
        <v>12.5</v>
      </c>
      <c r="O3" s="8">
        <f>IF(AND(ISNUMBER(J3), ISNUMBER(N3)), J3 * N3 / 100, "")</f>
        <v/>
      </c>
      <c r="P3" s="8">
        <f>IF(AND(ISNUMBER(F3), ISNUMBER(G3)), F3 * G3, "")</f>
        <v/>
      </c>
      <c r="Q3" s="22" t="n">
        <v>82.90000000000001</v>
      </c>
      <c r="R3" s="23">
        <f>IF(AND(ISNUMBER(P3), ISNUMBER(Q3), Q3&lt;&gt;0), P3 * Q3, "")</f>
        <v/>
      </c>
      <c r="S3" s="23">
        <f>IF(AND(ISNUMBER(J3), ISNUMBER(Q3), Q3&lt;&gt;0), J3 * Q3, "")</f>
        <v/>
      </c>
      <c r="T3" s="23">
        <f>IF(AND(ISNUMBER(O3), ISNUMBER(Q3), Q3&lt;&gt;0), O3 * Q3, "")</f>
        <v/>
      </c>
    </row>
    <row r="4">
      <c r="A4" s="2" t="inlineStr">
        <is>
          <t>RSU</t>
        </is>
      </c>
      <c r="B4" s="2" t="inlineStr">
        <is>
          <t>A220515</t>
        </is>
      </c>
      <c r="C4" s="2" t="inlineStr">
        <is>
          <t>AAPL</t>
        </is>
      </c>
      <c r="D4" s="3" t="inlineStr">
        <is>
          <t>2022-05-15</t>
        </is>
      </c>
      <c r="E4" s="18" t="n">
        <v>45066</v>
      </c>
      <c r="F4" s="2" t="n">
        <v>33</v>
      </c>
      <c r="G4" s="4" t="n">
        <v>134.21</v>
      </c>
      <c r="H4" s="3" t="inlineStr">
        <is>
          <t>yfinance</t>
        </is>
      </c>
      <c r="I4" s="4" t="n">
        <v>142.6759033203125</v>
      </c>
      <c r="J4" s="4">
        <f>IF(AND(ISNUMBER(G4), ISNUMBER(I4), ISNUMBER(F4)), (G4 - I4) * F4, "")</f>
        <v/>
      </c>
      <c r="K4" s="2" t="n">
        <v>370</v>
      </c>
      <c r="L4" s="2" t="inlineStr">
        <is>
          <t>1y 5d</t>
        </is>
      </c>
      <c r="M4" s="2" t="inlineStr">
        <is>
          <t>STCG</t>
        </is>
      </c>
      <c r="N4" s="19" t="n">
        <v>30</v>
      </c>
      <c r="O4" s="4">
        <f>IF(AND(ISNUMBER(J4), ISNUMBER(N4)), J4 * N4 / 100, "")</f>
        <v/>
      </c>
      <c r="P4" s="4">
        <f>IF(AND(ISNUMBER(F4), ISNUMBER(G4)), F4 * G4, "")</f>
        <v/>
      </c>
      <c r="Q4" s="9" t="n">
        <v>81.34999999999999</v>
      </c>
      <c r="R4" s="10">
        <f>IF(AND(ISNUMBER(P4), ISNUMBER(Q4), Q4&lt;&gt;0), P4 * Q4, "")</f>
        <v/>
      </c>
      <c r="S4" s="10">
        <f>IF(AND(ISNUMBER(J4), ISNUMBER(Q4), Q4&lt;&gt;0), J4 * Q4, "")</f>
        <v/>
      </c>
      <c r="T4" s="10">
        <f>IF(AND(ISNUMBER(O4), ISNUMBER(Q4), Q4&lt;&gt;0), O4 * Q4,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3" customWidth="1" min="4" max="4"/>
    <col width="18" customWidth="1" min="5" max="5"/>
    <col width="15" customWidth="1" min="6" max="6"/>
    <col width="25" customWidth="1" min="7" max="7"/>
  </cols>
  <sheetData>
    <row r="1">
      <c r="A1" s="1" t="inlineStr">
        <is>
          <t>Grant ID</t>
        </is>
      </c>
      <c r="B1" s="1" t="inlineStr">
        <is>
          <t>Grant Type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Tax Description</t>
        </is>
      </c>
      <c r="F1" s="1" t="inlineStr">
        <is>
          <t>Tax Rate (%)</t>
        </is>
      </c>
      <c r="G1" s="1" t="inlineStr">
        <is>
          <t>Withholding Amount ($)</t>
        </is>
      </c>
    </row>
    <row r="2">
      <c r="A2" s="2" t="inlineStr">
        <is>
          <t>A220515</t>
        </is>
      </c>
      <c r="B2" s="2" t="inlineStr">
        <is>
          <t>RSU</t>
        </is>
      </c>
      <c r="C2" s="2" t="inlineStr">
        <is>
          <t>AAPL</t>
        </is>
      </c>
      <c r="D2" s="3" t="inlineStr">
        <is>
          <t>2022-05-15</t>
        </is>
      </c>
      <c r="E2" s="3" t="inlineStr">
        <is>
          <t>US Federal</t>
        </is>
      </c>
      <c r="F2" s="19" t="n">
        <v>22</v>
      </c>
      <c r="G2" s="4" t="n">
        <v>1252.86</v>
      </c>
    </row>
    <row r="3">
      <c r="A3" s="6" t="inlineStr">
        <is>
          <t>A220515</t>
        </is>
      </c>
      <c r="B3" s="6" t="inlineStr">
        <is>
          <t>RSU</t>
        </is>
      </c>
      <c r="C3" s="6" t="inlineStr">
        <is>
          <t>AAPL</t>
        </is>
      </c>
      <c r="D3" s="7" t="inlineStr">
        <is>
          <t>2022-05-15</t>
        </is>
      </c>
      <c r="E3" s="7" t="inlineStr">
        <is>
          <t>US State</t>
        </is>
      </c>
      <c r="F3" s="21" t="n">
        <v>5</v>
      </c>
      <c r="G3" s="8" t="n">
        <v>284.74</v>
      </c>
    </row>
    <row r="4">
      <c r="A4" s="2" t="inlineStr">
        <is>
          <t>A220515</t>
        </is>
      </c>
      <c r="B4" s="2" t="inlineStr">
        <is>
          <t>RSU</t>
        </is>
      </c>
      <c r="C4" s="2" t="inlineStr">
        <is>
          <t>AAPL</t>
        </is>
      </c>
      <c r="D4" s="3" t="inlineStr">
        <is>
          <t>2022-05-15</t>
        </is>
      </c>
      <c r="E4" s="3" t="inlineStr">
        <is>
          <t>US Federal</t>
        </is>
      </c>
      <c r="F4" s="19" t="n">
        <v>22</v>
      </c>
      <c r="G4" s="4" t="n">
        <v>1378.46</v>
      </c>
    </row>
    <row r="5">
      <c r="A5" s="6" t="inlineStr">
        <is>
          <t>A220515</t>
        </is>
      </c>
      <c r="B5" s="6" t="inlineStr">
        <is>
          <t>RSU</t>
        </is>
      </c>
      <c r="C5" s="6" t="inlineStr">
        <is>
          <t>AAPL</t>
        </is>
      </c>
      <c r="D5" s="7" t="inlineStr">
        <is>
          <t>2022-05-15</t>
        </is>
      </c>
      <c r="E5" s="7" t="inlineStr">
        <is>
          <t>US State</t>
        </is>
      </c>
      <c r="F5" s="21" t="n">
        <v>5</v>
      </c>
      <c r="G5" s="8" t="n">
        <v>313.29</v>
      </c>
    </row>
    <row r="6">
      <c r="A6" s="2" t="inlineStr">
        <is>
          <t>A220515</t>
        </is>
      </c>
      <c r="B6" s="2" t="inlineStr">
        <is>
          <t>RSU</t>
        </is>
      </c>
      <c r="C6" s="2" t="inlineStr">
        <is>
          <t>AAPL</t>
        </is>
      </c>
      <c r="D6" s="3" t="inlineStr">
        <is>
          <t>2022-05-15</t>
        </is>
      </c>
      <c r="E6" s="3" t="inlineStr">
        <is>
          <t>US Federal</t>
        </is>
      </c>
      <c r="F6" s="19" t="n">
        <v>22</v>
      </c>
      <c r="G6" s="4" t="n">
        <v>1589.43</v>
      </c>
    </row>
    <row r="7">
      <c r="A7" s="6" t="inlineStr">
        <is>
          <t>A220515</t>
        </is>
      </c>
      <c r="B7" s="6" t="inlineStr">
        <is>
          <t>RSU</t>
        </is>
      </c>
      <c r="C7" s="6" t="inlineStr">
        <is>
          <t>AAPL</t>
        </is>
      </c>
      <c r="D7" s="7" t="inlineStr">
        <is>
          <t>2022-05-15</t>
        </is>
      </c>
      <c r="E7" s="7" t="inlineStr">
        <is>
          <t>US State</t>
        </is>
      </c>
      <c r="F7" s="21" t="n">
        <v>5</v>
      </c>
      <c r="G7" s="8" t="n">
        <v>361.23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26" customWidth="1" min="4" max="4"/>
    <col width="21" customWidth="1" min="5" max="5"/>
    <col width="18" customWidth="1" min="6" max="6"/>
    <col width="15" customWidth="1" min="7" max="7"/>
    <col width="13" customWidth="1" min="8" max="8"/>
    <col width="23" customWidth="1" min="9" max="9"/>
    <col width="24" customWidth="1" min="10" max="10"/>
    <col width="26" customWidth="1" min="11" max="11"/>
    <col width="21" customWidth="1" min="12" max="12"/>
    <col width="24" customWidth="1" min="13" max="13"/>
    <col width="21" customWidth="1" min="14" max="14"/>
    <col width="24" customWidth="1" min="15" max="15"/>
    <col width="20" customWidth="1" min="16" max="16"/>
    <col width="22" customWidth="1" min="17" max="17"/>
  </cols>
  <sheetData>
    <row r="1">
      <c r="A1" s="1" t="inlineStr">
        <is>
          <t>CY</t>
        </is>
      </c>
      <c r="B1" s="1" t="inlineStr">
        <is>
          <t>AY</t>
        </is>
      </c>
      <c r="C1" s="1" t="inlineStr">
        <is>
          <t>Country Code</t>
        </is>
      </c>
      <c r="D1" s="1" t="inlineStr">
        <is>
          <t>Name of Entity (Ticker)</t>
        </is>
      </c>
      <c r="E1" s="1" t="inlineStr">
        <is>
          <t>Nature of Interest</t>
        </is>
      </c>
      <c r="F1" s="1" t="inlineStr">
        <is>
          <t>Date Since Held</t>
        </is>
      </c>
      <c r="G1" s="1" t="inlineStr">
        <is>
          <t>Vested in CY</t>
        </is>
      </c>
      <c r="H1" s="1" t="inlineStr">
        <is>
          <t>Sold in CY</t>
        </is>
      </c>
      <c r="I1" s="1" t="inlineStr">
        <is>
          <t>Shares Held (Dec 31)</t>
        </is>
      </c>
      <c r="J1" s="1" t="inlineStr">
        <is>
          <t>Acquisition Value ($)</t>
        </is>
      </c>
      <c r="K1" s="1" t="inlineStr">
        <is>
          <t>Acquisition Value (INR)</t>
        </is>
      </c>
      <c r="L1" s="1" t="inlineStr">
        <is>
          <t>Dec 31 Price ($)</t>
        </is>
      </c>
      <c r="M1" s="1" t="inlineStr">
        <is>
          <t>Dec 31 Rate (USD-INR)</t>
        </is>
      </c>
      <c r="N1" s="1" t="inlineStr">
        <is>
          <t>Peak Balance (INR)</t>
        </is>
      </c>
      <c r="O1" s="1" t="inlineStr">
        <is>
          <t>Closing Balance (INR)</t>
        </is>
      </c>
      <c r="P1" s="1" t="inlineStr">
        <is>
          <t>Sale Proceeds ($)</t>
        </is>
      </c>
      <c r="Q1" s="1" t="inlineStr">
        <is>
          <t>Sale Proceeds (INR)</t>
        </is>
      </c>
    </row>
    <row r="2">
      <c r="A2" s="2" t="inlineStr">
        <is>
          <t>CY2026</t>
        </is>
      </c>
      <c r="B2" s="2" t="inlineStr">
        <is>
          <t>TY2026-2027</t>
        </is>
      </c>
      <c r="C2" s="2" t="inlineStr">
        <is>
          <t>US</t>
        </is>
      </c>
      <c r="D2" s="3" t="inlineStr">
        <is>
          <t>AAPL</t>
        </is>
      </c>
      <c r="E2" s="2" t="inlineStr">
        <is>
          <t>Direct</t>
        </is>
      </c>
      <c r="F2" s="2" t="inlineStr">
        <is>
          <t>2025-05-15</t>
        </is>
      </c>
      <c r="G2" s="24" t="inlineStr"/>
      <c r="H2" s="24" t="inlineStr"/>
      <c r="I2" s="24" t="n">
        <v>22</v>
      </c>
      <c r="J2" s="4" t="inlineStr"/>
      <c r="K2" s="10" t="inlineStr"/>
      <c r="L2" s="4" t="n">
        <v>302.25</v>
      </c>
      <c r="M2" s="25" t="n">
        <v>96.3125</v>
      </c>
      <c r="N2" s="10" t="n">
        <v>642442.9258651733</v>
      </c>
      <c r="O2" s="10" t="n">
        <v>640429.96875</v>
      </c>
      <c r="P2" s="4" t="inlineStr"/>
      <c r="Q2" s="10" t="inlineStr"/>
    </row>
    <row r="3">
      <c r="A3" s="6" t="inlineStr">
        <is>
          <t>CY2025</t>
        </is>
      </c>
      <c r="B3" s="6" t="inlineStr">
        <is>
          <t>AY2026-2027</t>
        </is>
      </c>
      <c r="C3" s="6" t="inlineStr">
        <is>
          <t>US</t>
        </is>
      </c>
      <c r="D3" s="7" t="inlineStr">
        <is>
          <t>AAPL</t>
        </is>
      </c>
      <c r="E3" s="6" t="inlineStr">
        <is>
          <t>Direct</t>
        </is>
      </c>
      <c r="F3" s="6" t="inlineStr">
        <is>
          <t>2025-05-15</t>
        </is>
      </c>
      <c r="G3" s="26" t="n">
        <v>46</v>
      </c>
      <c r="H3" s="26" t="n">
        <v>34</v>
      </c>
      <c r="I3" s="26" t="n">
        <v>22</v>
      </c>
      <c r="J3" s="8" t="n">
        <v>8067.248103759765</v>
      </c>
      <c r="K3" s="23" t="n">
        <v>681780.3983417603</v>
      </c>
      <c r="L3" s="8" t="n">
        <v>271.3558349609375</v>
      </c>
      <c r="M3" s="27" t="n">
        <v>88.95</v>
      </c>
      <c r="N3" s="23" t="n">
        <v>1435007.799649184</v>
      </c>
      <c r="O3" s="23" t="n">
        <v>531016.2334350586</v>
      </c>
      <c r="P3" s="8" t="n">
        <v>5890.16</v>
      </c>
      <c r="Q3" s="23" t="n">
        <v>496245.98</v>
      </c>
    </row>
    <row r="4">
      <c r="A4" s="2" t="inlineStr">
        <is>
          <t>CY2024</t>
        </is>
      </c>
      <c r="B4" s="2" t="inlineStr">
        <is>
          <t>AY2025-2026</t>
        </is>
      </c>
      <c r="C4" s="2" t="inlineStr">
        <is>
          <t>US</t>
        </is>
      </c>
      <c r="D4" s="3" t="inlineStr">
        <is>
          <t>AAPL</t>
        </is>
      </c>
      <c r="E4" s="2" t="inlineStr">
        <is>
          <t>Direct</t>
        </is>
      </c>
      <c r="F4" s="2" t="inlineStr">
        <is>
          <t>2024-07-31</t>
        </is>
      </c>
      <c r="G4" s="24" t="n">
        <v>43</v>
      </c>
      <c r="H4" s="24" t="n">
        <v>33</v>
      </c>
      <c r="I4" s="24" t="n">
        <v>10</v>
      </c>
      <c r="J4" s="4" t="n">
        <v>7632.325201416015</v>
      </c>
      <c r="K4" s="10" t="n">
        <v>632876.2866973877</v>
      </c>
      <c r="L4" s="4" t="n">
        <v>248.8302001953125</v>
      </c>
      <c r="M4" s="25" t="n">
        <v>84.15000000000001</v>
      </c>
      <c r="N4" s="10" t="n">
        <v>935183.9554014874</v>
      </c>
      <c r="O4" s="10" t="n">
        <v>209390.6134643555</v>
      </c>
      <c r="P4" s="4" t="n">
        <v>6072</v>
      </c>
      <c r="Q4" s="10" t="n">
        <v>503368.8</v>
      </c>
    </row>
    <row r="5">
      <c r="A5" s="6" t="inlineStr">
        <is>
          <t>CY2023</t>
        </is>
      </c>
      <c r="B5" s="6" t="inlineStr">
        <is>
          <t>AY2024-2025</t>
        </is>
      </c>
      <c r="C5" s="6" t="inlineStr">
        <is>
          <t>US</t>
        </is>
      </c>
      <c r="D5" s="7" t="inlineStr">
        <is>
          <t>AAPL</t>
        </is>
      </c>
      <c r="E5" s="6" t="inlineStr">
        <is>
          <t>Direct</t>
        </is>
      </c>
      <c r="F5" s="6" t="inlineStr"/>
      <c r="G5" s="26" t="n">
        <v>33</v>
      </c>
      <c r="H5" s="26" t="n">
        <v>33</v>
      </c>
      <c r="I5" s="26" t="n">
        <v>0</v>
      </c>
      <c r="J5" s="8" t="n">
        <v>4315.739959716797</v>
      </c>
      <c r="K5" s="23" t="n">
        <v>351085.4457229614</v>
      </c>
      <c r="L5" s="8" t="n">
        <v>183.5621948242188</v>
      </c>
      <c r="M5" s="27" t="n">
        <v>82.92</v>
      </c>
      <c r="N5" s="23" t="n">
        <v>540118.3400361891</v>
      </c>
      <c r="O5" s="23" t="inlineStr"/>
      <c r="P5" s="8" t="n">
        <v>4428.93</v>
      </c>
      <c r="Q5" s="23" t="n">
        <v>360293.4555</v>
      </c>
    </row>
    <row r="7" ht="20" customHeight="1">
      <c r="A7" s="28" t="inlineStr">
        <is>
          <t>NOTES — Schedule FA Table A3 (ITR-2/ITR-3) | One row per Calendar Year (Jan–Dec) per company</t>
        </is>
      </c>
    </row>
    <row r="8" ht="18" customHeight="1">
      <c r="A8" s="29" t="inlineStr">
        <is>
          <t xml:space="preserve">  CY = Calendar Year (Jan 1 – Dec 31). For CY2025 and earlier: AY = Assessment Year under Income Tax Act, 1961 (CY+1 to CY+2). From CY2026: Tax Year (TY) under Income Tax Act, 2025 — shown as TY{CY}-{CY+1}.</t>
        </is>
      </c>
    </row>
    <row r="9" ht="18" customHeight="1">
      <c r="A9" s="29" t="inlineStr">
        <is>
          <t xml:space="preserve">  'Date Since Held' uses FIFO logic — shows the vest date of the oldest UNSOLD tranche as of Dec 31.</t>
        </is>
      </c>
    </row>
    <row r="10" ht="18" customHeight="1">
      <c r="A10" s="29" t="inlineStr">
        <is>
          <t xml:space="preserve">  'Shares Held (Dec 31)' = closing balance to report in Schedule FA.</t>
        </is>
      </c>
    </row>
    <row r="11" ht="18" customHeight="1">
      <c r="A11" s="29" t="inlineStr">
        <is>
          <t xml:space="preserve">  'Peak Balance (INR)' = (shares at Jan 1 + released in CY) × peak CY intraday high × Dec 31 SBI TTBR.</t>
        </is>
      </c>
    </row>
    <row r="12" ht="18" customHeight="1">
      <c r="A12" s="29" t="inlineStr">
        <is>
          <t xml:space="preserve">  'Closing Balance (INR)' = Shares Held (Dec 31) × Dec 31 Price × Dec 31 SBI TTBR.</t>
        </is>
      </c>
    </row>
    <row r="13" ht="18" customHeight="1">
      <c r="A13" s="29" t="inlineStr">
        <is>
          <t xml:space="preserve">  'Acquisition Value' = FMV at release × released qty × SBI TTBR on release date (cost basis of received shares).</t>
        </is>
      </c>
    </row>
    <row r="14" ht="18" customHeight="1">
      <c r="A14" s="29" t="inlineStr">
        <is>
          <t xml:space="preserve">  Replace 'Name of Entity (Ticker)' with the full company name and registered address before filing ITR.</t>
        </is>
      </c>
    </row>
    <row r="15" ht="18" customHeight="1">
      <c r="A15" s="29" t="inlineStr">
        <is>
          <t xml:space="preserve">  File Form 67 BEFORE submitting ITR if claiming foreign tax credit on dividends.</t>
        </is>
      </c>
    </row>
    <row r="16" ht="18" customHeight="1">
      <c r="A16" s="29" t="inlineStr">
        <is>
          <t xml:space="preserve">  Non-disclosure of foreign assets attracts Rs.10 lakh penalty under the Black Money Act.</t>
        </is>
      </c>
    </row>
  </sheetData>
  <mergeCells count="10">
    <mergeCell ref="A8:Q8"/>
    <mergeCell ref="A14:Q14"/>
    <mergeCell ref="A9:Q9"/>
    <mergeCell ref="A12:Q12"/>
    <mergeCell ref="A7:Q7"/>
    <mergeCell ref="A16:Q16"/>
    <mergeCell ref="A15:Q15"/>
    <mergeCell ref="A10:Q10"/>
    <mergeCell ref="A11:Q11"/>
    <mergeCell ref="A13:Q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22" customWidth="1" min="4" max="4"/>
    <col width="17" customWidth="1" min="5" max="5"/>
    <col width="16" customWidth="1" min="6" max="6"/>
    <col width="17" customWidth="1" min="7" max="7"/>
    <col width="11" customWidth="1" min="8" max="8"/>
    <col width="20" customWidth="1" min="9" max="9"/>
    <col width="18" customWidth="1" min="10" max="10"/>
    <col width="21" customWidth="1" min="11" max="11"/>
    <col width="15" customWidth="1" min="12" max="12"/>
    <col width="24" customWidth="1" min="13" max="13"/>
    <col width="26" customWidth="1" min="14" max="14"/>
    <col width="21" customWidth="1" min="15" max="15"/>
    <col width="21" customWidth="1" min="16" max="16"/>
    <col width="26" customWidth="1" min="17" max="17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Vest Date</t>
        </is>
      </c>
      <c r="E1" s="1" t="inlineStr">
        <is>
          <t>Vest Price ($)</t>
        </is>
      </c>
      <c r="F1" s="1" t="inlineStr">
        <is>
          <t>Remaining Qty</t>
        </is>
      </c>
      <c r="G1" s="1" t="inlineStr">
        <is>
          <t>Holding Period</t>
        </is>
      </c>
      <c r="H1" s="1" t="inlineStr">
        <is>
          <t>Tax Type</t>
        </is>
      </c>
      <c r="I1" s="1" t="inlineStr">
        <is>
          <t>Today's Price ($)</t>
        </is>
      </c>
      <c r="J1" s="1" t="inlineStr">
        <is>
          <t>Sale Amount ($)</t>
        </is>
      </c>
      <c r="K1" s="1" t="inlineStr">
        <is>
          <t>Capital Gain ($)</t>
        </is>
      </c>
      <c r="L1" s="1" t="inlineStr">
        <is>
          <t>Tax Rate (%)</t>
        </is>
      </c>
      <c r="M1" s="1" t="inlineStr">
        <is>
          <t>Capital Gains Tax ($)</t>
        </is>
      </c>
      <c r="N1" s="1" t="inlineStr">
        <is>
          <t>Exchange Rate (USD-INR)</t>
        </is>
      </c>
      <c r="O1" s="1" t="inlineStr">
        <is>
          <t>Sale Amount (INR)</t>
        </is>
      </c>
      <c r="P1" s="1" t="inlineStr">
        <is>
          <t>Capital Gain (INR)</t>
        </is>
      </c>
      <c r="Q1" s="1" t="inlineStr">
        <is>
          <t>Capital Gains Tax (INR)</t>
        </is>
      </c>
    </row>
    <row r="2">
      <c r="A2" s="2" t="inlineStr">
        <is>
          <t>ESPP</t>
        </is>
      </c>
      <c r="B2" s="2" t="inlineStr">
        <is>
          <t>ESPP_2024-07-31_2</t>
        </is>
      </c>
      <c r="C2" s="2" t="inlineStr">
        <is>
          <t>AAPL</t>
        </is>
      </c>
      <c r="D2" s="14" t="n">
        <v>45504</v>
      </c>
      <c r="E2" s="4" t="n">
        <v>156.5275</v>
      </c>
      <c r="F2" s="24" t="n">
        <v>10</v>
      </c>
      <c r="G2" s="2" t="inlineStr">
        <is>
          <t>1y 294d</t>
        </is>
      </c>
      <c r="H2" s="2" t="inlineStr">
        <is>
          <t>STCG</t>
        </is>
      </c>
      <c r="I2" s="4" t="n">
        <v>302.25</v>
      </c>
      <c r="J2" s="4" t="n">
        <v>3022.5</v>
      </c>
      <c r="K2" s="4" t="n">
        <v>1457.225</v>
      </c>
      <c r="L2" s="19" t="n">
        <v>30</v>
      </c>
      <c r="M2" s="4" t="n">
        <v>437.1675</v>
      </c>
      <c r="N2" s="25" t="n">
        <v>94.59999999999999</v>
      </c>
      <c r="O2" s="10" t="n">
        <v>285928.5</v>
      </c>
      <c r="P2" s="10" t="n">
        <v>137853.485</v>
      </c>
      <c r="Q2" s="10" t="n">
        <v>41356.04549999999</v>
      </c>
    </row>
    <row r="3">
      <c r="A3" s="6" t="inlineStr">
        <is>
          <t>ESPP</t>
        </is>
      </c>
      <c r="B3" s="6" t="inlineStr">
        <is>
          <t>ESPP_2025-01-31_1</t>
        </is>
      </c>
      <c r="C3" s="6" t="inlineStr">
        <is>
          <t>AAPL</t>
        </is>
      </c>
      <c r="D3" s="16" t="n">
        <v>45688</v>
      </c>
      <c r="E3" s="8" t="n">
        <v>185.504</v>
      </c>
      <c r="F3" s="26" t="n">
        <v>12</v>
      </c>
      <c r="G3" s="6" t="inlineStr">
        <is>
          <t>1y 110d</t>
        </is>
      </c>
      <c r="H3" s="6" t="inlineStr">
        <is>
          <t>STCG</t>
        </is>
      </c>
      <c r="I3" s="8" t="n">
        <v>302.25</v>
      </c>
      <c r="J3" s="8" t="n">
        <v>3627</v>
      </c>
      <c r="K3" s="8" t="n">
        <v>1400.952</v>
      </c>
      <c r="L3" s="21" t="n">
        <v>30</v>
      </c>
      <c r="M3" s="8" t="n">
        <v>420.2856</v>
      </c>
      <c r="N3" s="27" t="n">
        <v>94.59999999999999</v>
      </c>
      <c r="O3" s="23" t="n">
        <v>343114.2</v>
      </c>
      <c r="P3" s="23" t="n">
        <v>132530.0592</v>
      </c>
      <c r="Q3" s="23" t="n">
        <v>39759.01776</v>
      </c>
    </row>
    <row r="4">
      <c r="A4" s="11" t="n"/>
      <c r="B4" s="11" t="n"/>
      <c r="C4" s="11" t="inlineStr">
        <is>
          <t>AAPL — STCG</t>
        </is>
      </c>
      <c r="D4" s="11" t="n"/>
      <c r="E4" s="12" t="n"/>
      <c r="F4" s="11" t="n"/>
      <c r="G4" s="11" t="n"/>
      <c r="H4" s="11" t="inlineStr">
        <is>
          <t>STCG</t>
        </is>
      </c>
      <c r="I4" s="12" t="n"/>
      <c r="J4" s="12" t="n">
        <v>6649.5</v>
      </c>
      <c r="K4" s="12" t="n">
        <v>2858.177</v>
      </c>
      <c r="L4" s="11" t="n"/>
      <c r="M4" s="12" t="n">
        <v>857.4530999999999</v>
      </c>
      <c r="N4" s="11" t="n"/>
      <c r="O4" s="13" t="n">
        <v>629042.7</v>
      </c>
      <c r="P4" s="13" t="n">
        <v>270383.5442</v>
      </c>
      <c r="Q4" s="13" t="n">
        <v>81115.06326</v>
      </c>
    </row>
    <row r="5">
      <c r="A5" s="11" t="n"/>
      <c r="B5" s="11" t="n"/>
      <c r="C5" s="11" t="inlineStr">
        <is>
          <t>AAPL — Total</t>
        </is>
      </c>
      <c r="D5" s="11" t="n"/>
      <c r="E5" s="12" t="n"/>
      <c r="F5" s="11" t="n"/>
      <c r="G5" s="11" t="n"/>
      <c r="H5" s="11" t="n"/>
      <c r="I5" s="12" t="n"/>
      <c r="J5" s="12">
        <f>SUM(J2:J3)</f>
        <v/>
      </c>
      <c r="K5" s="12">
        <f>SUM(K2:K3)</f>
        <v/>
      </c>
      <c r="L5" s="11" t="n"/>
      <c r="M5" s="12">
        <f>SUM(M2:M3)</f>
        <v/>
      </c>
      <c r="N5" s="11" t="n"/>
      <c r="O5" s="13">
        <f>SUM(O2:O3)</f>
        <v/>
      </c>
      <c r="P5" s="13">
        <f>SUM(P2:P3)</f>
        <v/>
      </c>
      <c r="Q5" s="13">
        <f>SUM(Q2:Q3)</f>
        <v/>
      </c>
    </row>
    <row r="6">
      <c r="A6" s="11" t="n"/>
      <c r="B6" s="11" t="n"/>
      <c r="C6" s="11" t="inlineStr">
        <is>
          <t>GRAND TOTAL</t>
        </is>
      </c>
      <c r="D6" s="11" t="n"/>
      <c r="E6" s="12" t="n"/>
      <c r="F6" s="11" t="n"/>
      <c r="G6" s="11" t="n"/>
      <c r="H6" s="11" t="n"/>
      <c r="I6" s="12" t="n"/>
      <c r="J6" s="12" t="n">
        <v>6649.5</v>
      </c>
      <c r="K6" s="12" t="n">
        <v>2858.177</v>
      </c>
      <c r="L6" s="11" t="n"/>
      <c r="M6" s="12" t="n">
        <v>857.4530999999999</v>
      </c>
      <c r="N6" s="11" t="n"/>
      <c r="O6" s="13" t="n">
        <v>629042.7</v>
      </c>
      <c r="P6" s="13" t="n">
        <v>270383.5442</v>
      </c>
      <c r="Q6" s="13" t="n">
        <v>81115.06326</v>
      </c>
    </row>
    <row r="8" ht="20" customHeight="1">
      <c r="A8" s="28" t="inlineStr">
        <is>
          <t>NOTES — Sell-All Simulation | Generated: 2026-05-21 11:01</t>
        </is>
      </c>
    </row>
    <row r="9" ht="18" customHeight="1">
      <c r="A9" s="29" t="inlineStr">
        <is>
          <t xml:space="preserve">  Simulation assumes all remaining (unsold) shares are sold at today's price (latest available yfinance close).</t>
        </is>
      </c>
    </row>
    <row r="10" ht="18" customHeight="1">
      <c r="A10" s="29" t="inlineStr">
        <is>
          <t xml:space="preserve">  Exchange rate used: 94.6000 USD-INR (SBI TTBR, Rule 115 — last business day of preceding month).</t>
        </is>
      </c>
    </row>
    <row r="11" ht="18" customHeight="1">
      <c r="A11" s="29" t="inlineStr">
        <is>
          <t xml:space="preserve">  Shares assigned to tranches using FIFO — oldest vest date consumed by oldest sale first.</t>
        </is>
      </c>
    </row>
    <row r="12" ht="18" customHeight="1">
      <c r="A12" s="29" t="inlineStr">
        <is>
          <t xml:space="preserve">  LTCG threshold: 24 months (foreign/unlisted shares). LTCG rate: 12.5%. STCG rate: 30.0%.</t>
        </is>
      </c>
    </row>
    <row r="13" ht="18" customHeight="1">
      <c r="A13" s="29" t="inlineStr">
        <is>
          <t xml:space="preserve">  This is a simulation only and does not constitute tax advice. Consult a qualified CA before making tax decisions.</t>
        </is>
      </c>
    </row>
  </sheetData>
  <mergeCells count="6">
    <mergeCell ref="A8:Q8"/>
    <mergeCell ref="A9:Q9"/>
    <mergeCell ref="A12:Q12"/>
    <mergeCell ref="A10:Q10"/>
    <mergeCell ref="A11:Q1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2026-05-21T05:31:41Z</dcterms:created>
  <dcterms:modified xsi:type="dcterms:W3CDTF">2026-05-21T05:31:43Z</dcterms:modified>
</cp:coreProperties>
</file>