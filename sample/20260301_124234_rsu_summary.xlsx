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Summary" sheetId="1" state="visible" r:id="rId1"/>
    <sheet name="Year-wise Tax Summary" sheetId="2" state="visible" r:id="rId2"/>
    <sheet name="Vesting Schedule" sheetId="3" state="visible" r:id="rId3"/>
    <sheet name="Sales History" sheetId="4" state="visible" r:id="rId4"/>
    <sheet name="Tax Withholdings" sheetId="5" state="visible" r:id="rId5"/>
    <sheet name="Schedule FA (Table A3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 h:mm:ss"/>
    <numFmt numFmtId="166" formatCode="YYYY-MM-DD HH:MM:SS"/>
    <numFmt numFmtId="167" formatCode="YYYY-MM-DD"/>
    <numFmt numFmtId="168" formatCode="0.0000"/>
  </numFmts>
  <fonts count="7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F5496"/>
      <sz val="9"/>
    </font>
    <font>
      <name val="Calibri"/>
      <i val="1"/>
      <color rgb="00595959"/>
      <sz val="9"/>
    </font>
    <font>
      <name val="Calibri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F2F6FA"/>
        <bgColor rgb="00F2F6FA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1" fillId="2" borderId="1" pivotButton="0" quotePrefix="0" xfId="0"/>
    <xf numFmtId="164" fontId="1" fillId="2" borderId="1" pivotButton="0" quotePrefix="0" xfId="0"/>
    <xf numFmtId="4" fontId="1" fillId="2" borderId="1" pivotButton="0" quotePrefix="0" xfId="0"/>
    <xf numFmtId="167" fontId="3" fillId="4" borderId="1" pivotButton="0" quotePrefix="0" xfId="0"/>
    <xf numFmtId="1" fontId="3" fillId="4" borderId="1" applyAlignment="1" pivotButton="0" quotePrefix="0" xfId="0">
      <alignment horizontal="center" vertical="center"/>
    </xf>
    <xf numFmtId="167" fontId="3" fillId="0" borderId="1" pivotButton="0" quotePrefix="0" xfId="0"/>
    <xf numFmtId="1" fontId="3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14" customWidth="1" min="4" max="4"/>
    <col width="8" customWidth="1" min="5" max="5"/>
    <col width="17" customWidth="1" min="6" max="6"/>
    <col width="21" customWidth="1" min="7" max="7"/>
    <col width="22" customWidth="1" min="8" max="8"/>
    <col width="19" customWidth="1" min="9" max="9"/>
    <col width="8" customWidth="1" min="10" max="10"/>
    <col width="37" customWidth="1" min="11" max="11"/>
    <col width="11" customWidth="1" min="12" max="12"/>
    <col width="11" customWidth="1" min="13" max="13"/>
    <col width="34" customWidth="1" min="14" max="14"/>
    <col width="17" customWidth="1" min="15" max="15"/>
    <col width="29" customWidth="1" min="16" max="16"/>
    <col width="20" customWidth="1" min="17" max="17"/>
    <col width="13" customWidth="1" min="18" max="18"/>
    <col width="22" customWidth="1" min="19" max="19"/>
    <col width="24" customWidth="1" min="20" max="20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Units</t>
        </is>
      </c>
      <c r="F1" s="1" t="inlineStr">
        <is>
          <t>Vested to Date</t>
        </is>
      </c>
      <c r="G1" s="1" t="inlineStr">
        <is>
          <t>Withheld for Taxes</t>
        </is>
      </c>
      <c r="H1" s="1" t="inlineStr">
        <is>
          <t>Released to Account</t>
        </is>
      </c>
      <c r="I1" s="1" t="inlineStr">
        <is>
          <t>Tax Withheld ($)</t>
        </is>
      </c>
      <c r="J1" s="1" t="inlineStr">
        <is>
          <t>Sold</t>
        </is>
      </c>
      <c r="K1" s="1" t="inlineStr">
        <is>
          <t>Sale Dates</t>
        </is>
      </c>
      <c r="L1" s="1" t="inlineStr">
        <is>
          <t>Sellable</t>
        </is>
      </c>
      <c r="M1" s="1" t="inlineStr">
        <is>
          <t>Unvested</t>
        </is>
      </c>
      <c r="N1" s="1" t="inlineStr">
        <is>
          <t>Future Vesting (from schedules)</t>
        </is>
      </c>
      <c r="O1" s="1" t="inlineStr">
        <is>
          <t>Next Vest Date</t>
        </is>
      </c>
      <c r="P1" s="1" t="inlineStr">
        <is>
          <t>Estimated Market Value ($)</t>
        </is>
      </c>
      <c r="Q1" s="1" t="inlineStr">
        <is>
          <t>Validation Status</t>
        </is>
      </c>
      <c r="R1" s="1" t="inlineStr">
        <is>
          <t># of Sales</t>
        </is>
      </c>
      <c r="S1" s="1" t="inlineStr">
        <is>
          <t># of Vest Schedules</t>
        </is>
      </c>
      <c r="T1" s="1" t="inlineStr">
        <is>
          <t># of Tax Withholdings</t>
        </is>
      </c>
    </row>
    <row r="2">
      <c r="A2" s="2" t="inlineStr">
        <is>
          <t>RSU</t>
        </is>
      </c>
      <c r="B2" s="2" t="inlineStr">
        <is>
          <t>A241115</t>
        </is>
      </c>
      <c r="C2" s="2" t="inlineStr">
        <is>
          <t>AAPL</t>
        </is>
      </c>
      <c r="D2" s="3" t="inlineStr">
        <is>
          <t>15-NOV-2024</t>
        </is>
      </c>
      <c r="E2" s="2" t="n">
        <v>60</v>
      </c>
      <c r="F2" s="2" t="n">
        <v>0</v>
      </c>
      <c r="G2" s="2" t="n">
        <v>0</v>
      </c>
      <c r="H2" s="2" t="n">
        <v>0</v>
      </c>
      <c r="I2" s="4" t="n">
        <v>0</v>
      </c>
      <c r="J2" s="2" t="n">
        <v>0</v>
      </c>
      <c r="K2" s="3" t="inlineStr">
        <is>
          <t>None</t>
        </is>
      </c>
      <c r="L2" s="2" t="n">
        <v>0</v>
      </c>
      <c r="M2" s="2" t="n">
        <v>60</v>
      </c>
      <c r="N2" s="2" t="n">
        <v>0</v>
      </c>
      <c r="O2" s="3" t="inlineStr">
        <is>
          <t>2026-11-15</t>
        </is>
      </c>
      <c r="P2" s="4" t="n">
        <v>14400</v>
      </c>
      <c r="Q2" s="5" t="inlineStr">
        <is>
          <t>OK</t>
        </is>
      </c>
      <c r="R2" s="2" t="n">
        <v>0</v>
      </c>
      <c r="S2" s="2" t="n">
        <v>3</v>
      </c>
      <c r="T2" s="2" t="n">
        <v>0</v>
      </c>
    </row>
    <row r="3">
      <c r="A3" s="6" t="inlineStr">
        <is>
          <t>ESPP</t>
        </is>
      </c>
      <c r="B3" s="6" t="inlineStr">
        <is>
          <t>ESPP_31-JAN-2025_1</t>
        </is>
      </c>
      <c r="C3" s="6" t="inlineStr">
        <is>
          <t>AAPL</t>
        </is>
      </c>
      <c r="D3" s="7" t="inlineStr">
        <is>
          <t>01-AUG-2024</t>
        </is>
      </c>
      <c r="E3" s="6" t="n">
        <v>12</v>
      </c>
      <c r="F3" s="6" t="n">
        <v>12</v>
      </c>
      <c r="G3" s="6" t="n">
        <v>0</v>
      </c>
      <c r="H3" s="6" t="n">
        <v>0</v>
      </c>
      <c r="I3" s="8" t="n">
        <v>0</v>
      </c>
      <c r="J3" s="6" t="n">
        <v>0</v>
      </c>
      <c r="K3" s="7" t="inlineStr">
        <is>
          <t>None</t>
        </is>
      </c>
      <c r="L3" s="6" t="n">
        <v>12</v>
      </c>
      <c r="M3" s="6" t="n">
        <v>0</v>
      </c>
      <c r="N3" s="6" t="n">
        <v>0</v>
      </c>
      <c r="O3" s="7" t="inlineStr">
        <is>
          <t>N/A</t>
        </is>
      </c>
      <c r="P3" s="8" t="n">
        <v>2976.6</v>
      </c>
      <c r="Q3" s="5" t="inlineStr">
        <is>
          <t>OK</t>
        </is>
      </c>
      <c r="R3" s="6" t="n">
        <v>0</v>
      </c>
      <c r="S3" s="6" t="n">
        <v>0</v>
      </c>
      <c r="T3" s="6" t="n">
        <v>0</v>
      </c>
    </row>
    <row r="4">
      <c r="A4" s="2" t="inlineStr">
        <is>
          <t>ESPP</t>
        </is>
      </c>
      <c r="B4" s="2" t="inlineStr">
        <is>
          <t>ESPP_31-JUL-2024_2</t>
        </is>
      </c>
      <c r="C4" s="2" t="inlineStr">
        <is>
          <t>AAPL</t>
        </is>
      </c>
      <c r="D4" s="3" t="inlineStr">
        <is>
          <t>01-FEB-2024</t>
        </is>
      </c>
      <c r="E4" s="2" t="n">
        <v>10</v>
      </c>
      <c r="F4" s="2" t="n">
        <v>10</v>
      </c>
      <c r="G4" s="2" t="n">
        <v>0</v>
      </c>
      <c r="H4" s="2" t="n">
        <v>0</v>
      </c>
      <c r="I4" s="4" t="n">
        <v>0</v>
      </c>
      <c r="J4" s="2" t="n">
        <v>0</v>
      </c>
      <c r="K4" s="3" t="inlineStr">
        <is>
          <t>None</t>
        </is>
      </c>
      <c r="L4" s="2" t="n">
        <v>10</v>
      </c>
      <c r="M4" s="2" t="n">
        <v>0</v>
      </c>
      <c r="N4" s="2" t="n">
        <v>0</v>
      </c>
      <c r="O4" s="3" t="inlineStr">
        <is>
          <t>N/A</t>
        </is>
      </c>
      <c r="P4" s="4" t="n">
        <v>2182.4</v>
      </c>
      <c r="Q4" s="5" t="inlineStr">
        <is>
          <t>OK</t>
        </is>
      </c>
      <c r="R4" s="2" t="n">
        <v>0</v>
      </c>
      <c r="S4" s="2" t="n">
        <v>0</v>
      </c>
      <c r="T4" s="2" t="n">
        <v>0</v>
      </c>
    </row>
    <row r="5">
      <c r="A5" s="6" t="inlineStr">
        <is>
          <t>RSU</t>
        </is>
      </c>
      <c r="B5" s="6" t="inlineStr">
        <is>
          <t>A220515</t>
        </is>
      </c>
      <c r="C5" s="6" t="inlineStr">
        <is>
          <t>AAPL</t>
        </is>
      </c>
      <c r="D5" s="7" t="inlineStr">
        <is>
          <t>15-MAY-2022</t>
        </is>
      </c>
      <c r="E5" s="6" t="n">
        <v>100</v>
      </c>
      <c r="F5" s="6" t="n">
        <v>100</v>
      </c>
      <c r="G5" s="6" t="n">
        <v>0</v>
      </c>
      <c r="H5" s="6" t="n">
        <v>100</v>
      </c>
      <c r="I5" s="8" t="n">
        <v>5180.01</v>
      </c>
      <c r="J5" s="6" t="n">
        <v>100</v>
      </c>
      <c r="K5" s="7" t="inlineStr">
        <is>
          <t>05/20/2023; 05/20/2024; 05/20/2025</t>
        </is>
      </c>
      <c r="L5" s="6" t="n">
        <v>0</v>
      </c>
      <c r="M5" s="6" t="n">
        <v>0</v>
      </c>
      <c r="N5" s="6" t="n">
        <v>0</v>
      </c>
      <c r="O5" s="7" t="inlineStr">
        <is>
          <t>N/A</t>
        </is>
      </c>
      <c r="P5" s="8" t="n">
        <v>0</v>
      </c>
      <c r="Q5" s="5" t="inlineStr">
        <is>
          <t>OK</t>
        </is>
      </c>
      <c r="R5" s="6" t="n">
        <v>3</v>
      </c>
      <c r="S5" s="6" t="n">
        <v>3</v>
      </c>
      <c r="T5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9" customWidth="1" min="4" max="4"/>
    <col width="23" customWidth="1" min="5" max="5"/>
    <col width="50" customWidth="1" min="6" max="6"/>
    <col width="26" customWidth="1" min="7" max="7"/>
    <col width="50" customWidth="1" min="8" max="8"/>
  </cols>
  <sheetData>
    <row r="1">
      <c r="A1" s="1" t="inlineStr">
        <is>
          <t>FY</t>
        </is>
      </c>
      <c r="B1" s="1" t="inlineStr">
        <is>
          <t>Grant Type</t>
        </is>
      </c>
      <c r="C1" s="1" t="inlineStr">
        <is>
          <t>Grant ID</t>
        </is>
      </c>
      <c r="D1" s="1" t="inlineStr">
        <is>
          <t>Symbol</t>
        </is>
      </c>
      <c r="E1" s="1" t="inlineStr">
        <is>
          <t>Tax Type</t>
        </is>
      </c>
      <c r="F1" s="1" t="inlineStr">
        <is>
          <t>Amount ($)</t>
        </is>
      </c>
      <c r="G1" s="1" t="inlineStr">
        <is>
          <t>Exchange Rate (USD-INR)</t>
        </is>
      </c>
      <c r="H1" s="1" t="inlineStr">
        <is>
          <t>Amount (INR)</t>
        </is>
      </c>
    </row>
    <row r="2">
      <c r="A2" s="2" t="inlineStr">
        <is>
          <t>FY2025-2026</t>
        </is>
      </c>
      <c r="B2" s="2" t="inlineStr">
        <is>
          <t>RSU</t>
        </is>
      </c>
      <c r="C2" s="2" t="inlineStr">
        <is>
          <t>A220515</t>
        </is>
      </c>
      <c r="D2" s="2" t="inlineStr">
        <is>
          <t>AAPL</t>
        </is>
      </c>
      <c r="E2" s="2" t="inlineStr">
        <is>
          <t>Capital Gains (LTCG)</t>
        </is>
      </c>
      <c r="F2" s="4">
        <f>SUMIFS('Sales History'!$N:$N,'Sales History'!$B:$B,"A220515",'Sales History'!$C:$C,"AAPL",'Sales History'!$L:$L,"LTCG",'Sales History'!$E:$E,"&gt;="&amp;DATE(2025,4,1),'Sales History'!$E:$E,"&lt;="&amp;DATE(2026,3,31))</f>
        <v/>
      </c>
      <c r="G2" s="9" t="n">
        <v>84.25</v>
      </c>
      <c r="H2" s="10">
        <f>IF(AND(ISNUMBER(F2), ISNUMBER(G2), G2&lt;&gt;0), F2 * G2, "")</f>
        <v/>
      </c>
    </row>
    <row r="3">
      <c r="A3" s="11" t="inlineStr">
        <is>
          <t>FY2025-2026 Total</t>
        </is>
      </c>
      <c r="B3" s="11" t="n"/>
      <c r="C3" s="11" t="n"/>
      <c r="D3" s="11" t="n"/>
      <c r="E3" s="11" t="n"/>
      <c r="F3" s="12">
        <f>SUM(F2:F2)</f>
        <v/>
      </c>
      <c r="G3" s="11" t="n"/>
      <c r="H3" s="13">
        <f>SUM(H2:H2)</f>
        <v/>
      </c>
    </row>
    <row r="4">
      <c r="A4" s="2" t="inlineStr">
        <is>
          <t>FY2024-2025</t>
        </is>
      </c>
      <c r="B4" s="2" t="inlineStr">
        <is>
          <t>RSU</t>
        </is>
      </c>
      <c r="C4" s="2" t="inlineStr">
        <is>
          <t>A220515</t>
        </is>
      </c>
      <c r="D4" s="2" t="inlineStr">
        <is>
          <t>AAPL</t>
        </is>
      </c>
      <c r="E4" s="2" t="inlineStr">
        <is>
          <t>Capital Gains (LTCG)</t>
        </is>
      </c>
      <c r="F4" s="4">
        <f>SUMIFS('Sales History'!$N:$N,'Sales History'!$B:$B,"A220515",'Sales History'!$C:$C,"AAPL",'Sales History'!$L:$L,"LTCG",'Sales History'!$E:$E,"&gt;="&amp;DATE(2024,4,1),'Sales History'!$E:$E,"&lt;="&amp;DATE(2025,3,31))</f>
        <v/>
      </c>
      <c r="G4" s="9" t="n">
        <v>82.90000000000001</v>
      </c>
      <c r="H4" s="10">
        <f>IF(AND(ISNUMBER(F4), ISNUMBER(G4), G4&lt;&gt;0), F4 * G4, "")</f>
        <v/>
      </c>
    </row>
    <row r="5">
      <c r="A5" s="11" t="inlineStr">
        <is>
          <t>FY2024-2025 Total</t>
        </is>
      </c>
      <c r="B5" s="11" t="n"/>
      <c r="C5" s="11" t="n"/>
      <c r="D5" s="11" t="n"/>
      <c r="E5" s="11" t="n"/>
      <c r="F5" s="12">
        <f>SUM(F4:F4)</f>
        <v/>
      </c>
      <c r="G5" s="11" t="n"/>
      <c r="H5" s="13">
        <f>SUM(H4:H4)</f>
        <v/>
      </c>
    </row>
    <row r="6">
      <c r="A6" s="2" t="inlineStr">
        <is>
          <t>FY2023-2024</t>
        </is>
      </c>
      <c r="B6" s="2" t="inlineStr">
        <is>
          <t>RSU</t>
        </is>
      </c>
      <c r="C6" s="2" t="inlineStr">
        <is>
          <t>A220515</t>
        </is>
      </c>
      <c r="D6" s="2" t="inlineStr">
        <is>
          <t>AAPL</t>
        </is>
      </c>
      <c r="E6" s="2" t="inlineStr">
        <is>
          <t>Capital Gains (STCG)</t>
        </is>
      </c>
      <c r="F6" s="4">
        <f>SUMIFS('Sales History'!$N:$N,'Sales History'!$B:$B,"A220515",'Sales History'!$C:$C,"AAPL",'Sales History'!$L:$L,"STCG",'Sales History'!$E:$E,"&gt;="&amp;DATE(2023,4,1),'Sales History'!$E:$E,"&lt;="&amp;DATE(2024,3,31))</f>
        <v/>
      </c>
      <c r="G6" s="9" t="n">
        <v>81.34999999999999</v>
      </c>
      <c r="H6" s="10">
        <f>IF(AND(ISNUMBER(F6), ISNUMBER(G6), G6&lt;&gt;0), F6 * G6, "")</f>
        <v/>
      </c>
    </row>
    <row r="7">
      <c r="A7" s="11" t="inlineStr">
        <is>
          <t>FY2023-2024 Total</t>
        </is>
      </c>
      <c r="B7" s="11" t="n"/>
      <c r="C7" s="11" t="n"/>
      <c r="D7" s="11" t="n"/>
      <c r="E7" s="11" t="n"/>
      <c r="F7" s="12">
        <f>SUM(F6:F6)</f>
        <v/>
      </c>
      <c r="G7" s="11" t="n"/>
      <c r="H7" s="13">
        <f>SUM(H6:H6)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4" customWidth="1" min="4" max="4"/>
    <col width="22" customWidth="1" min="5" max="5"/>
    <col width="14" customWidth="1" min="6" max="6"/>
    <col width="14" customWidth="1" min="7" max="7"/>
    <col width="15" customWidth="1" min="8" max="8"/>
    <col width="12" customWidth="1" min="9" max="9"/>
    <col width="34" customWidth="1" min="10" max="10"/>
    <col width="21" customWidth="1" min="11" max="11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Vest Date</t>
        </is>
      </c>
      <c r="F1" s="1" t="inlineStr">
        <is>
          <t>Vest Period</t>
        </is>
      </c>
      <c r="G1" s="1" t="inlineStr">
        <is>
          <t>Vested Qty.</t>
        </is>
      </c>
      <c r="H1" s="1" t="inlineStr">
        <is>
          <t>Released Qty</t>
        </is>
      </c>
      <c r="I1" s="1" t="inlineStr">
        <is>
          <t>Is Future</t>
        </is>
      </c>
      <c r="J1" s="1" t="inlineStr">
        <is>
          <t>Days to Vesting</t>
        </is>
      </c>
      <c r="K1" s="1" t="inlineStr">
        <is>
          <t>Future Vesting Qty</t>
        </is>
      </c>
    </row>
    <row r="2">
      <c r="A2" s="2" t="inlineStr">
        <is>
          <t>RSU</t>
        </is>
      </c>
      <c r="B2" s="2" t="inlineStr">
        <is>
          <t>A241115</t>
        </is>
      </c>
      <c r="C2" s="2" t="inlineStr">
        <is>
          <t>AAPL</t>
        </is>
      </c>
      <c r="D2" s="3" t="inlineStr">
        <is>
          <t>15-NOV-2024</t>
        </is>
      </c>
      <c r="E2" s="14" t="n">
        <v>46706</v>
      </c>
      <c r="F2" s="2" t="inlineStr">
        <is>
          <t>3.0</t>
        </is>
      </c>
      <c r="G2" s="2" t="n">
        <v>0</v>
      </c>
      <c r="H2" s="2" t="n">
        <v>0</v>
      </c>
      <c r="I2" s="2" t="inlineStr">
        <is>
          <t>Yes</t>
        </is>
      </c>
      <c r="J2" s="15">
        <f>IF(E2&gt;TODAY(), E2-TODAY(), "")</f>
        <v/>
      </c>
      <c r="K2" s="2" t="n">
        <v>30</v>
      </c>
    </row>
    <row r="3">
      <c r="A3" s="6" t="inlineStr">
        <is>
          <t>RSU</t>
        </is>
      </c>
      <c r="B3" s="6" t="inlineStr">
        <is>
          <t>A241115</t>
        </is>
      </c>
      <c r="C3" s="6" t="inlineStr">
        <is>
          <t>AAPL</t>
        </is>
      </c>
      <c r="D3" s="7" t="inlineStr">
        <is>
          <t>15-NOV-2024</t>
        </is>
      </c>
      <c r="E3" s="16" t="n">
        <v>46341</v>
      </c>
      <c r="F3" s="6" t="inlineStr">
        <is>
          <t>2.0</t>
        </is>
      </c>
      <c r="G3" s="6" t="n">
        <v>0</v>
      </c>
      <c r="H3" s="6" t="n">
        <v>0</v>
      </c>
      <c r="I3" s="6" t="inlineStr">
        <is>
          <t>Yes</t>
        </is>
      </c>
      <c r="J3" s="17">
        <f>IF(E3&gt;TODAY(), E3-TODAY(), "")</f>
        <v/>
      </c>
      <c r="K3" s="6" t="n">
        <v>30</v>
      </c>
    </row>
    <row r="4">
      <c r="A4" s="2" t="inlineStr">
        <is>
          <t>RSU</t>
        </is>
      </c>
      <c r="B4" s="2" t="inlineStr">
        <is>
          <t>A241115</t>
        </is>
      </c>
      <c r="C4" s="2" t="inlineStr">
        <is>
          <t>AAPL</t>
        </is>
      </c>
      <c r="D4" s="3" t="inlineStr">
        <is>
          <t>15-NOV-2024</t>
        </is>
      </c>
      <c r="E4" s="14" t="n">
        <v>45976</v>
      </c>
      <c r="F4" s="2" t="inlineStr">
        <is>
          <t>1.0</t>
        </is>
      </c>
      <c r="G4" s="2" t="n">
        <v>0</v>
      </c>
      <c r="H4" s="2" t="n">
        <v>0</v>
      </c>
      <c r="I4" s="2" t="inlineStr">
        <is>
          <t>No</t>
        </is>
      </c>
      <c r="J4" s="15">
        <f>IF(E4&gt;TODAY(), E4-TODAY(), "")</f>
        <v/>
      </c>
      <c r="K4" s="2" t="inlineStr"/>
    </row>
    <row r="5">
      <c r="A5" s="6" t="inlineStr">
        <is>
          <t>RSU</t>
        </is>
      </c>
      <c r="B5" s="6" t="inlineStr">
        <is>
          <t>A220515</t>
        </is>
      </c>
      <c r="C5" s="6" t="inlineStr">
        <is>
          <t>AAPL</t>
        </is>
      </c>
      <c r="D5" s="7" t="inlineStr">
        <is>
          <t>15-MAY-2022</t>
        </is>
      </c>
      <c r="E5" s="16" t="n">
        <v>45792</v>
      </c>
      <c r="F5" s="6" t="inlineStr">
        <is>
          <t>3.0</t>
        </is>
      </c>
      <c r="G5" s="6" t="n">
        <v>0</v>
      </c>
      <c r="H5" s="6" t="n">
        <v>34</v>
      </c>
      <c r="I5" s="6" t="inlineStr">
        <is>
          <t>No</t>
        </is>
      </c>
      <c r="J5" s="17">
        <f>IF(E5&gt;TODAY(), E5-TODAY(), "")</f>
        <v/>
      </c>
      <c r="K5" s="6" t="inlineStr"/>
    </row>
    <row r="6">
      <c r="A6" s="2" t="inlineStr">
        <is>
          <t>RSU</t>
        </is>
      </c>
      <c r="B6" s="2" t="inlineStr">
        <is>
          <t>A220515</t>
        </is>
      </c>
      <c r="C6" s="2" t="inlineStr">
        <is>
          <t>AAPL</t>
        </is>
      </c>
      <c r="D6" s="3" t="inlineStr">
        <is>
          <t>15-MAY-2022</t>
        </is>
      </c>
      <c r="E6" s="14" t="n">
        <v>45427</v>
      </c>
      <c r="F6" s="2" t="inlineStr">
        <is>
          <t>2.0</t>
        </is>
      </c>
      <c r="G6" s="2" t="n">
        <v>0</v>
      </c>
      <c r="H6" s="2" t="n">
        <v>33</v>
      </c>
      <c r="I6" s="2" t="inlineStr">
        <is>
          <t>No</t>
        </is>
      </c>
      <c r="J6" s="15">
        <f>IF(E6&gt;TODAY(), E6-TODAY(), "")</f>
        <v/>
      </c>
      <c r="K6" s="2" t="inlineStr"/>
    </row>
    <row r="7">
      <c r="A7" s="6" t="inlineStr">
        <is>
          <t>RSU</t>
        </is>
      </c>
      <c r="B7" s="6" t="inlineStr">
        <is>
          <t>A220515</t>
        </is>
      </c>
      <c r="C7" s="6" t="inlineStr">
        <is>
          <t>AAPL</t>
        </is>
      </c>
      <c r="D7" s="7" t="inlineStr">
        <is>
          <t>15-MAY-2022</t>
        </is>
      </c>
      <c r="E7" s="16" t="n">
        <v>45061</v>
      </c>
      <c r="F7" s="6" t="inlineStr">
        <is>
          <t>1.0</t>
        </is>
      </c>
      <c r="G7" s="6" t="n">
        <v>0</v>
      </c>
      <c r="H7" s="6" t="n">
        <v>33</v>
      </c>
      <c r="I7" s="6" t="inlineStr">
        <is>
          <t>No</t>
        </is>
      </c>
      <c r="J7" s="17">
        <f>IF(E7&gt;TODAY(), E7-TODAY(), "")</f>
        <v/>
      </c>
      <c r="K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4" customWidth="1" min="4" max="4"/>
    <col width="22" customWidth="1" min="5" max="5"/>
    <col width="12" customWidth="1" min="6" max="6"/>
    <col width="21" customWidth="1" min="7" max="7"/>
    <col width="20" customWidth="1" min="8" max="8"/>
    <col width="21" customWidth="1" min="9" max="9"/>
    <col width="50" customWidth="1" min="10" max="10"/>
    <col width="15" customWidth="1" min="11" max="11"/>
    <col width="11" customWidth="1" min="12" max="12"/>
    <col width="15" customWidth="1" min="13" max="13"/>
    <col width="50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Grant Type</t>
        </is>
      </c>
      <c r="B1" s="1" t="inlineStr">
        <is>
          <t>Grant ID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Sale Date</t>
        </is>
      </c>
      <c r="F1" s="1" t="inlineStr">
        <is>
          <t>Qty. Sold</t>
        </is>
      </c>
      <c r="G1" s="1" t="inlineStr">
        <is>
          <t>Sale Price ($)</t>
        </is>
      </c>
      <c r="H1" s="1" t="inlineStr">
        <is>
          <t>Sale Price Source</t>
        </is>
      </c>
      <c r="I1" s="1" t="inlineStr">
        <is>
          <t>Grant Price ($)</t>
        </is>
      </c>
      <c r="J1" s="1" t="inlineStr">
        <is>
          <t>Capital Gain ($)</t>
        </is>
      </c>
      <c r="K1" s="1" t="inlineStr">
        <is>
          <t>Holding Days</t>
        </is>
      </c>
      <c r="L1" s="1" t="inlineStr">
        <is>
          <t>Tax Type</t>
        </is>
      </c>
      <c r="M1" s="1" t="inlineStr">
        <is>
          <t>Tax Rate (%)</t>
        </is>
      </c>
      <c r="N1" s="1" t="inlineStr">
        <is>
          <t>Capital Gains Tax ($)</t>
        </is>
      </c>
      <c r="O1" s="1" t="inlineStr">
        <is>
          <t>Exchange Rate (USD-INR)</t>
        </is>
      </c>
      <c r="P1" s="1" t="inlineStr">
        <is>
          <t>Capital Gain (INR)</t>
        </is>
      </c>
      <c r="Q1" s="1" t="inlineStr">
        <is>
          <t>Capital Gains Tax (INR)</t>
        </is>
      </c>
    </row>
    <row r="2">
      <c r="A2" s="2" t="inlineStr">
        <is>
          <t>RSU</t>
        </is>
      </c>
      <c r="B2" s="2" t="inlineStr">
        <is>
          <t>A220515</t>
        </is>
      </c>
      <c r="C2" s="2" t="inlineStr">
        <is>
          <t>AAPL</t>
        </is>
      </c>
      <c r="D2" s="3" t="inlineStr">
        <is>
          <t>15-MAY-2022</t>
        </is>
      </c>
      <c r="E2" s="14" t="n">
        <v>45797</v>
      </c>
      <c r="F2" s="2" t="n">
        <v>34</v>
      </c>
      <c r="G2" s="4" t="n">
        <v>206.232421875</v>
      </c>
      <c r="H2" s="3" t="inlineStr">
        <is>
          <t>yfinance</t>
        </is>
      </c>
      <c r="I2" s="4" t="n">
        <v>142.8073425292969</v>
      </c>
      <c r="J2" s="4">
        <f>IF(AND(ISNUMBER(G2), ISNUMBER(I2), ISNUMBER(F2)), (G2 - I2) * F2, "")</f>
        <v/>
      </c>
      <c r="K2" s="2" t="n">
        <v>1101</v>
      </c>
      <c r="L2" s="2" t="inlineStr">
        <is>
          <t>LTCG</t>
        </is>
      </c>
      <c r="M2" s="18" t="n">
        <v>12.5</v>
      </c>
      <c r="N2" s="4">
        <f>IF(AND(ISNUMBER(J2), ISNUMBER(M2)), J2 * M2 / 100, "")</f>
        <v/>
      </c>
      <c r="O2" s="9" t="n">
        <v>84.25</v>
      </c>
      <c r="P2" s="10">
        <f>IF(AND(ISNUMBER(J2), ISNUMBER(O2), O2&lt;&gt;0), J2 * O2, "")</f>
        <v/>
      </c>
      <c r="Q2" s="10">
        <f>IF(AND(ISNUMBER(N2), ISNUMBER(O2), O2&lt;&gt;0), N2 * O2, "")</f>
        <v/>
      </c>
    </row>
    <row r="3">
      <c r="A3" s="6" t="inlineStr">
        <is>
          <t>RSU</t>
        </is>
      </c>
      <c r="B3" s="6" t="inlineStr">
        <is>
          <t>A220515</t>
        </is>
      </c>
      <c r="C3" s="6" t="inlineStr">
        <is>
          <t>AAPL</t>
        </is>
      </c>
      <c r="D3" s="7" t="inlineStr">
        <is>
          <t>15-MAY-2022</t>
        </is>
      </c>
      <c r="E3" s="16" t="n">
        <v>45432</v>
      </c>
      <c r="F3" s="6" t="n">
        <v>33</v>
      </c>
      <c r="G3" s="8" t="n">
        <v>189.5738220214844</v>
      </c>
      <c r="H3" s="7" t="inlineStr">
        <is>
          <t>yfinance</t>
        </is>
      </c>
      <c r="I3" s="8" t="n">
        <v>142.8073425292969</v>
      </c>
      <c r="J3" s="8">
        <f>IF(AND(ISNUMBER(G3), ISNUMBER(I3), ISNUMBER(F3)), (G3 - I3) * F3, "")</f>
        <v/>
      </c>
      <c r="K3" s="6" t="n">
        <v>736</v>
      </c>
      <c r="L3" s="6" t="inlineStr">
        <is>
          <t>LTCG</t>
        </is>
      </c>
      <c r="M3" s="19" t="n">
        <v>12.5</v>
      </c>
      <c r="N3" s="8">
        <f>IF(AND(ISNUMBER(J3), ISNUMBER(M3)), J3 * M3 / 100, "")</f>
        <v/>
      </c>
      <c r="O3" s="20" t="n">
        <v>82.90000000000001</v>
      </c>
      <c r="P3" s="21">
        <f>IF(AND(ISNUMBER(J3), ISNUMBER(O3), O3&lt;&gt;0), J3 * O3, "")</f>
        <v/>
      </c>
      <c r="Q3" s="21">
        <f>IF(AND(ISNUMBER(N3), ISNUMBER(O3), O3&lt;&gt;0), N3 * O3, "")</f>
        <v/>
      </c>
    </row>
    <row r="4">
      <c r="A4" s="2" t="inlineStr">
        <is>
          <t>RSU</t>
        </is>
      </c>
      <c r="B4" s="2" t="inlineStr">
        <is>
          <t>A220515</t>
        </is>
      </c>
      <c r="C4" s="2" t="inlineStr">
        <is>
          <t>AAPL</t>
        </is>
      </c>
      <c r="D4" s="3" t="inlineStr">
        <is>
          <t>15-MAY-2022</t>
        </is>
      </c>
      <c r="E4" s="14" t="n">
        <v>45066</v>
      </c>
      <c r="F4" s="2" t="n">
        <v>33</v>
      </c>
      <c r="G4" s="4" t="n">
        <v>172.8975067138672</v>
      </c>
      <c r="H4" s="3" t="inlineStr">
        <is>
          <t>yfinance</t>
        </is>
      </c>
      <c r="I4" s="4" t="n">
        <v>142.8073425292969</v>
      </c>
      <c r="J4" s="4">
        <f>IF(AND(ISNUMBER(G4), ISNUMBER(I4), ISNUMBER(F4)), (G4 - I4) * F4, "")</f>
        <v/>
      </c>
      <c r="K4" s="2" t="n">
        <v>370</v>
      </c>
      <c r="L4" s="2" t="inlineStr">
        <is>
          <t>STCG</t>
        </is>
      </c>
      <c r="M4" s="18" t="n">
        <v>30</v>
      </c>
      <c r="N4" s="4">
        <f>IF(AND(ISNUMBER(J4), ISNUMBER(M4)), J4 * M4 / 100, "")</f>
        <v/>
      </c>
      <c r="O4" s="9" t="n">
        <v>81.34999999999999</v>
      </c>
      <c r="P4" s="10">
        <f>IF(AND(ISNUMBER(J4), ISNUMBER(O4), O4&lt;&gt;0), J4 * O4, "")</f>
        <v/>
      </c>
      <c r="Q4" s="10">
        <f>IF(AND(ISNUMBER(N4), ISNUMBER(O4), O4&lt;&gt;0), N4 * O4,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  <col width="18" customWidth="1" min="5" max="5"/>
    <col width="15" customWidth="1" min="6" max="6"/>
    <col width="25" customWidth="1" min="7" max="7"/>
  </cols>
  <sheetData>
    <row r="1">
      <c r="A1" s="1" t="inlineStr">
        <is>
          <t>Grant ID</t>
        </is>
      </c>
      <c r="B1" s="1" t="inlineStr">
        <is>
          <t>Grant Type</t>
        </is>
      </c>
      <c r="C1" s="1" t="inlineStr">
        <is>
          <t>Symbol</t>
        </is>
      </c>
      <c r="D1" s="1" t="inlineStr">
        <is>
          <t>Grant Date</t>
        </is>
      </c>
      <c r="E1" s="1" t="inlineStr">
        <is>
          <t>Tax Description</t>
        </is>
      </c>
      <c r="F1" s="1" t="inlineStr">
        <is>
          <t>Tax Rate (%)</t>
        </is>
      </c>
      <c r="G1" s="1" t="inlineStr">
        <is>
          <t>Withholding Amount ($)</t>
        </is>
      </c>
    </row>
    <row r="2">
      <c r="A2" s="2" t="inlineStr">
        <is>
          <t>A220515</t>
        </is>
      </c>
      <c r="B2" s="2" t="inlineStr">
        <is>
          <t>RSU</t>
        </is>
      </c>
      <c r="C2" s="2" t="inlineStr">
        <is>
          <t>AAPL</t>
        </is>
      </c>
      <c r="D2" s="3" t="inlineStr">
        <is>
          <t>15-MAY-2022</t>
        </is>
      </c>
      <c r="E2" s="3" t="inlineStr">
        <is>
          <t>US Federal</t>
        </is>
      </c>
      <c r="F2" s="18" t="n">
        <v>22</v>
      </c>
      <c r="G2" s="4" t="n">
        <v>1252.86</v>
      </c>
    </row>
    <row r="3">
      <c r="A3" s="6" t="inlineStr">
        <is>
          <t>A220515</t>
        </is>
      </c>
      <c r="B3" s="6" t="inlineStr">
        <is>
          <t>RSU</t>
        </is>
      </c>
      <c r="C3" s="6" t="inlineStr">
        <is>
          <t>AAPL</t>
        </is>
      </c>
      <c r="D3" s="7" t="inlineStr">
        <is>
          <t>15-MAY-2022</t>
        </is>
      </c>
      <c r="E3" s="7" t="inlineStr">
        <is>
          <t>US State</t>
        </is>
      </c>
      <c r="F3" s="19" t="n">
        <v>5</v>
      </c>
      <c r="G3" s="8" t="n">
        <v>284.74</v>
      </c>
    </row>
    <row r="4">
      <c r="A4" s="2" t="inlineStr">
        <is>
          <t>A220515</t>
        </is>
      </c>
      <c r="B4" s="2" t="inlineStr">
        <is>
          <t>RSU</t>
        </is>
      </c>
      <c r="C4" s="2" t="inlineStr">
        <is>
          <t>AAPL</t>
        </is>
      </c>
      <c r="D4" s="3" t="inlineStr">
        <is>
          <t>15-MAY-2022</t>
        </is>
      </c>
      <c r="E4" s="3" t="inlineStr">
        <is>
          <t>US Federal</t>
        </is>
      </c>
      <c r="F4" s="18" t="n">
        <v>22</v>
      </c>
      <c r="G4" s="4" t="n">
        <v>1378.46</v>
      </c>
    </row>
    <row r="5">
      <c r="A5" s="6" t="inlineStr">
        <is>
          <t>A220515</t>
        </is>
      </c>
      <c r="B5" s="6" t="inlineStr">
        <is>
          <t>RSU</t>
        </is>
      </c>
      <c r="C5" s="6" t="inlineStr">
        <is>
          <t>AAPL</t>
        </is>
      </c>
      <c r="D5" s="7" t="inlineStr">
        <is>
          <t>15-MAY-2022</t>
        </is>
      </c>
      <c r="E5" s="7" t="inlineStr">
        <is>
          <t>US State</t>
        </is>
      </c>
      <c r="F5" s="19" t="n">
        <v>5</v>
      </c>
      <c r="G5" s="8" t="n">
        <v>313.29</v>
      </c>
    </row>
    <row r="6">
      <c r="A6" s="2" t="inlineStr">
        <is>
          <t>A220515</t>
        </is>
      </c>
      <c r="B6" s="2" t="inlineStr">
        <is>
          <t>RSU</t>
        </is>
      </c>
      <c r="C6" s="2" t="inlineStr">
        <is>
          <t>AAPL</t>
        </is>
      </c>
      <c r="D6" s="3" t="inlineStr">
        <is>
          <t>15-MAY-2022</t>
        </is>
      </c>
      <c r="E6" s="3" t="inlineStr">
        <is>
          <t>US Federal</t>
        </is>
      </c>
      <c r="F6" s="18" t="n">
        <v>22</v>
      </c>
      <c r="G6" s="4" t="n">
        <v>1589.43</v>
      </c>
    </row>
    <row r="7">
      <c r="A7" s="6" t="inlineStr">
        <is>
          <t>A220515</t>
        </is>
      </c>
      <c r="B7" s="6" t="inlineStr">
        <is>
          <t>RSU</t>
        </is>
      </c>
      <c r="C7" s="6" t="inlineStr">
        <is>
          <t>AAPL</t>
        </is>
      </c>
      <c r="D7" s="7" t="inlineStr">
        <is>
          <t>15-MAY-2022</t>
        </is>
      </c>
      <c r="E7" s="7" t="inlineStr">
        <is>
          <t>US State</t>
        </is>
      </c>
      <c r="F7" s="19" t="n">
        <v>5</v>
      </c>
      <c r="G7" s="8" t="n">
        <v>361.23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26" customWidth="1" min="4" max="4"/>
    <col width="21" customWidth="1" min="5" max="5"/>
    <col width="18" customWidth="1" min="6" max="6"/>
    <col width="15" customWidth="1" min="7" max="7"/>
    <col width="13" customWidth="1" min="8" max="8"/>
    <col width="23" customWidth="1" min="9" max="9"/>
    <col width="24" customWidth="1" min="10" max="10"/>
    <col width="26" customWidth="1" min="11" max="11"/>
    <col width="21" customWidth="1" min="12" max="12"/>
    <col width="24" customWidth="1" min="13" max="13"/>
    <col width="21" customWidth="1" min="14" max="14"/>
    <col width="24" customWidth="1" min="15" max="15"/>
    <col width="20" customWidth="1" min="16" max="16"/>
    <col width="22" customWidth="1" min="17" max="17"/>
  </cols>
  <sheetData>
    <row r="1">
      <c r="A1" s="1" t="inlineStr">
        <is>
          <t>CY</t>
        </is>
      </c>
      <c r="B1" s="1" t="inlineStr">
        <is>
          <t>AY</t>
        </is>
      </c>
      <c r="C1" s="1" t="inlineStr">
        <is>
          <t>Country Code</t>
        </is>
      </c>
      <c r="D1" s="1" t="inlineStr">
        <is>
          <t>Name of Entity (Ticker)</t>
        </is>
      </c>
      <c r="E1" s="1" t="inlineStr">
        <is>
          <t>Nature of Interest</t>
        </is>
      </c>
      <c r="F1" s="1" t="inlineStr">
        <is>
          <t>Date Since Held</t>
        </is>
      </c>
      <c r="G1" s="1" t="inlineStr">
        <is>
          <t>Vested in CY</t>
        </is>
      </c>
      <c r="H1" s="1" t="inlineStr">
        <is>
          <t>Sold in CY</t>
        </is>
      </c>
      <c r="I1" s="1" t="inlineStr">
        <is>
          <t>Shares Held (Dec 31)</t>
        </is>
      </c>
      <c r="J1" s="1" t="inlineStr">
        <is>
          <t>Acquisition Value ($)</t>
        </is>
      </c>
      <c r="K1" s="1" t="inlineStr">
        <is>
          <t>Acquisition Value (INR)</t>
        </is>
      </c>
      <c r="L1" s="1" t="inlineStr">
        <is>
          <t>Dec 31 Price ($)</t>
        </is>
      </c>
      <c r="M1" s="1" t="inlineStr">
        <is>
          <t>Dec 31 Rate (USD-INR)</t>
        </is>
      </c>
      <c r="N1" s="1" t="inlineStr">
        <is>
          <t>Peak Balance (INR)</t>
        </is>
      </c>
      <c r="O1" s="1" t="inlineStr">
        <is>
          <t>Closing Balance (INR)</t>
        </is>
      </c>
      <c r="P1" s="1" t="inlineStr">
        <is>
          <t>Sale Proceeds ($)</t>
        </is>
      </c>
      <c r="Q1" s="1" t="inlineStr">
        <is>
          <t>Sale Proceeds (INR)</t>
        </is>
      </c>
    </row>
    <row r="2">
      <c r="A2" s="2" t="inlineStr">
        <is>
          <t>CY2026</t>
        </is>
      </c>
      <c r="B2" s="2" t="inlineStr">
        <is>
          <t>AY2027-2028</t>
        </is>
      </c>
      <c r="C2" s="2" t="inlineStr">
        <is>
          <t>US</t>
        </is>
      </c>
      <c r="D2" s="3" t="inlineStr">
        <is>
          <t>AAPL</t>
        </is>
      </c>
      <c r="E2" s="2" t="inlineStr">
        <is>
          <t>Direct</t>
        </is>
      </c>
      <c r="F2" s="2" t="inlineStr">
        <is>
          <t>05/15/2025</t>
        </is>
      </c>
      <c r="G2" s="22" t="inlineStr"/>
      <c r="H2" s="22" t="inlineStr"/>
      <c r="I2" s="22" t="n">
        <v>22</v>
      </c>
      <c r="J2" s="4" t="inlineStr"/>
      <c r="K2" s="10" t="inlineStr"/>
      <c r="L2" s="4" t="inlineStr"/>
      <c r="M2" s="23" t="inlineStr"/>
      <c r="N2" s="10" t="inlineStr"/>
      <c r="O2" s="10" t="inlineStr"/>
      <c r="P2" s="4" t="inlineStr"/>
      <c r="Q2" s="10" t="inlineStr"/>
    </row>
    <row r="3">
      <c r="A3" s="6" t="inlineStr">
        <is>
          <t>CY2025</t>
        </is>
      </c>
      <c r="B3" s="6" t="inlineStr">
        <is>
          <t>AY2026-2027</t>
        </is>
      </c>
      <c r="C3" s="6" t="inlineStr">
        <is>
          <t>US</t>
        </is>
      </c>
      <c r="D3" s="7" t="inlineStr">
        <is>
          <t>AAPL</t>
        </is>
      </c>
      <c r="E3" s="6" t="inlineStr">
        <is>
          <t>Direct</t>
        </is>
      </c>
      <c r="F3" s="6" t="inlineStr">
        <is>
          <t>05/15/2025</t>
        </is>
      </c>
      <c r="G3" s="24" t="n">
        <v>46</v>
      </c>
      <c r="H3" s="24" t="n">
        <v>34</v>
      </c>
      <c r="I3" s="24" t="n">
        <v>22</v>
      </c>
      <c r="J3" s="8" t="n">
        <v>9393.53707470703</v>
      </c>
      <c r="K3" s="21" t="n">
        <v>793520.2441440674</v>
      </c>
      <c r="L3" s="8" t="n">
        <v>271.6058349609375</v>
      </c>
      <c r="M3" s="25" t="n">
        <v>88.95</v>
      </c>
      <c r="N3" s="21" t="n">
        <v>1436329.974074647</v>
      </c>
      <c r="O3" s="21" t="n">
        <v>531505.4584350586</v>
      </c>
      <c r="P3" s="8" t="n">
        <v>7011.90234375</v>
      </c>
      <c r="Q3" s="21" t="n">
        <v>590752.7724609375</v>
      </c>
    </row>
    <row r="4">
      <c r="A4" s="2" t="inlineStr">
        <is>
          <t>CY2024</t>
        </is>
      </c>
      <c r="B4" s="2" t="inlineStr">
        <is>
          <t>AY2025-2026</t>
        </is>
      </c>
      <c r="C4" s="2" t="inlineStr">
        <is>
          <t>US</t>
        </is>
      </c>
      <c r="D4" s="3" t="inlineStr">
        <is>
          <t>AAPL</t>
        </is>
      </c>
      <c r="E4" s="2" t="inlineStr">
        <is>
          <t>Direct</t>
        </is>
      </c>
      <c r="F4" s="2" t="inlineStr">
        <is>
          <t>07/31/2024</t>
        </is>
      </c>
      <c r="G4" s="22" t="n">
        <v>43</v>
      </c>
      <c r="H4" s="22" t="n">
        <v>33</v>
      </c>
      <c r="I4" s="22" t="n">
        <v>10</v>
      </c>
      <c r="J4" s="4" t="n">
        <v>7777.986242675781</v>
      </c>
      <c r="K4" s="10" t="n">
        <v>644951.5870178223</v>
      </c>
      <c r="L4" s="4" t="n">
        <v>249.0594635009766</v>
      </c>
      <c r="M4" s="23" t="n">
        <v>84.15000000000001</v>
      </c>
      <c r="N4" s="10" t="n">
        <v>936045.4346968362</v>
      </c>
      <c r="O4" s="10" t="n">
        <v>209583.5385360718</v>
      </c>
      <c r="P4" s="4" t="n">
        <v>6255.936126708984</v>
      </c>
      <c r="Q4" s="10" t="n">
        <v>518617.1049041749</v>
      </c>
    </row>
    <row r="5">
      <c r="A5" s="6" t="inlineStr">
        <is>
          <t>CY2023</t>
        </is>
      </c>
      <c r="B5" s="6" t="inlineStr">
        <is>
          <t>AY2024-2025</t>
        </is>
      </c>
      <c r="C5" s="6" t="inlineStr">
        <is>
          <t>US</t>
        </is>
      </c>
      <c r="D5" s="7" t="inlineStr">
        <is>
          <t>AAPL</t>
        </is>
      </c>
      <c r="E5" s="6" t="inlineStr">
        <is>
          <t>Direct</t>
        </is>
      </c>
      <c r="F5" s="6" t="inlineStr"/>
      <c r="G5" s="24" t="n">
        <v>33</v>
      </c>
      <c r="H5" s="24" t="n">
        <v>33</v>
      </c>
      <c r="I5" s="24" t="n">
        <v>0</v>
      </c>
      <c r="J5" s="8" t="n">
        <v>5604.964096069336</v>
      </c>
      <c r="K5" s="21" t="n">
        <v>455963.8292152404</v>
      </c>
      <c r="L5" s="8" t="n">
        <v>183.7313079833984</v>
      </c>
      <c r="M5" s="25" t="n">
        <v>82.92</v>
      </c>
      <c r="N5" s="21" t="n">
        <v>540616.0071873247</v>
      </c>
      <c r="O5" s="21" t="inlineStr"/>
      <c r="P5" s="8" t="n">
        <v>5705.617721557617</v>
      </c>
      <c r="Q5" s="21" t="n">
        <v>464152.0016487121</v>
      </c>
    </row>
    <row r="7" ht="20" customHeight="1">
      <c r="A7" s="26" t="inlineStr">
        <is>
          <t>NOTES — Schedule FA Table A3 (ITR-2/ITR-3) | One row per Calendar Year (Jan–Dec) per company</t>
        </is>
      </c>
    </row>
    <row r="8" ht="18" customHeight="1">
      <c r="A8" s="27" t="inlineStr">
        <is>
          <t xml:space="preserve">  CY = Calendar Year (Jan 1 – Dec 31). AY = Assessment Year for ITR filing (CY+1 to CY+2).</t>
        </is>
      </c>
    </row>
    <row r="9" ht="18" customHeight="1">
      <c r="A9" s="27" t="inlineStr">
        <is>
          <t xml:space="preserve">  'Date Since Held' uses FIFO logic — shows the vest date of the oldest UNSOLD tranche as of Dec 31.</t>
        </is>
      </c>
    </row>
    <row r="10" ht="18" customHeight="1">
      <c r="A10" s="27" t="inlineStr">
        <is>
          <t xml:space="preserve">  'Shares Held (Dec 31)' = closing balance to report in Schedule FA.</t>
        </is>
      </c>
    </row>
    <row r="11" ht="18" customHeight="1">
      <c r="A11" s="27" t="inlineStr">
        <is>
          <t xml:space="preserve">  'Peak Balance (INR)' = (shares at Jan 1 + released in CY) × peak CY intraday high × Dec 31 SBI TTBR.</t>
        </is>
      </c>
    </row>
    <row r="12" ht="18" customHeight="1">
      <c r="A12" s="27" t="inlineStr">
        <is>
          <t xml:space="preserve">  'Closing Balance (INR)' = Shares Held (Dec 31) × Dec 31 Price × Dec 31 SBI TTBR.</t>
        </is>
      </c>
    </row>
    <row r="13" ht="18" customHeight="1">
      <c r="A13" s="27" t="inlineStr">
        <is>
          <t xml:space="preserve">  'Acquisition Value' = FMV at release × released qty × SBI TTBR on release date (cost basis of received shares).</t>
        </is>
      </c>
    </row>
    <row r="14" ht="18" customHeight="1">
      <c r="A14" s="27" t="inlineStr">
        <is>
          <t xml:space="preserve">  Replace 'Name of Entity (Ticker)' with the full company name and registered address before filing ITR.</t>
        </is>
      </c>
    </row>
    <row r="15" ht="18" customHeight="1">
      <c r="A15" s="27" t="inlineStr">
        <is>
          <t xml:space="preserve">  File Form 67 BEFORE submitting ITR if claiming foreign tax credit on dividends.</t>
        </is>
      </c>
    </row>
    <row r="16" ht="18" customHeight="1">
      <c r="A16" s="27" t="inlineStr">
        <is>
          <t xml:space="preserve">  Non-disclosure of foreign assets attracts Rs.10 lakh penalty under the Black Money Act.</t>
        </is>
      </c>
    </row>
  </sheetData>
  <mergeCells count="10">
    <mergeCell ref="A8:Q8"/>
    <mergeCell ref="A14:Q14"/>
    <mergeCell ref="A9:Q9"/>
    <mergeCell ref="A12:Q12"/>
    <mergeCell ref="A7:Q7"/>
    <mergeCell ref="A16:Q16"/>
    <mergeCell ref="A15:Q15"/>
    <mergeCell ref="A10:Q10"/>
    <mergeCell ref="A11:Q1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2026-03-01T07:12:39Z</dcterms:created>
  <dcterms:modified xsi:type="dcterms:W3CDTF">2026-03-01T07:12:44Z</dcterms:modified>
</cp:coreProperties>
</file>